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Cell Types" sheetId="1" state="visible" r:id="rId3"/>
    <sheet name="Excitatory" sheetId="2" state="visible" r:id="rId4"/>
    <sheet name="Inhibitory" sheetId="3" state="visible" r:id="rId5"/>
    <sheet name="Astrocytes" sheetId="4" state="visible" r:id="rId6"/>
    <sheet name="Microglia" sheetId="5" state="visible" r:id="rId7"/>
    <sheet name="References" sheetId="6" state="visible" r:id="rId8"/>
  </sheets>
  <definedNames>
    <definedName function="false" hidden="true" localSheetId="0" name="_xlnm._FilterDatabase" vbProcedure="false">'All Cell Types'!$A$1:$L$42</definedName>
    <definedName function="false" hidden="true" localSheetId="3" name="_xlnm._FilterDatabase" vbProcedure="false">Astrocytes!$A$1:$L$19</definedName>
    <definedName function="false" hidden="true" localSheetId="1" name="_xlnm._FilterDatabase" vbProcedure="false">Excitatory!$A$1:$L$24</definedName>
    <definedName function="false" hidden="true" localSheetId="2" name="_xlnm._FilterDatabase" vbProcedure="false">Inhibitory!$A$1:$L$24</definedName>
    <definedName function="false" hidden="true" localSheetId="4" name="_xlnm._FilterDatabase" vbProcedure="false">Microglia!$A$1:$L$21</definedName>
    <definedName function="false" hidden="true" localSheetId="5" name="_xlnm._FilterDatabase" vbProcedure="false">References!$A$1:$C$54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<sst xmlns="http://schemas.openxmlformats.org/spreadsheetml/2006/main" count="775" uniqueCount="441">
  <si>
    <t xml:space="preserve">#</t>
  </si>
  <si>
    <t xml:space="preserve">Gene</t>
  </si>
  <si>
    <t xml:space="preserve">Bin</t>
  </si>
  <si>
    <t xml:space="preserve">logFC</t>
  </si>
  <si>
    <t xml:space="preserve">p-value (DE)</t>
  </si>
  <si>
    <t xml:space="preserve">recurSieve_Unique</t>
  </si>
  <si>
    <t xml:space="preserve">Seed stability</t>
  </si>
  <si>
    <t xml:space="preserve">recurSieve p-value</t>
  </si>
  <si>
    <t xml:space="preserve">Found in baseline RF</t>
  </si>
  <si>
    <t xml:space="preserve">References</t>
  </si>
  <si>
    <t xml:space="preserve">Description</t>
  </si>
  <si>
    <t xml:space="preserve">WWOX</t>
  </si>
  <si>
    <t xml:space="preserve">High</t>
  </si>
  <si>
    <t xml:space="preserve">Kunkle 2019; Sze 2004</t>
  </si>
  <si>
    <t xml:space="preserve">WW domain-containing oxidoreductase. AD risk locus (Kunkle 2019); reduced WWOX expression increases tau phosphorylation in vitro (Sze 2004).</t>
  </si>
  <si>
    <t xml:space="preserve">NCAM2</t>
  </si>
  <si>
    <t xml:space="preserve">Medium</t>
  </si>
  <si>
    <t xml:space="preserve">Leshchyns'ka 2015; Sytnyk 2017</t>
  </si>
  <si>
    <t xml:space="preserve">Neural cell adhesion molecule 2. Amyloid-beta binds NCAM2 and depletes it from synapses, contributing to synapse loss; NCAM2 is reduced in AD hippocampus (Leshchyns'ka 2015; Sytnyk 2017).</t>
  </si>
  <si>
    <t xml:space="preserve">HSP90AA1</t>
  </si>
  <si>
    <t xml:space="preserve">Dickey 2007; Luo 2007</t>
  </si>
  <si>
    <t xml:space="preserve">Molecular chaperone. Stabilizes phosphorylated tau; HSP90 inhibition promotes tau degradation through CHIP and reduces tau pathology in models (Dickey 2007; Luo 2007).</t>
  </si>
  <si>
    <t xml:space="preserve">ERBB4</t>
  </si>
  <si>
    <t xml:space="preserve">Chaudhury 2003; Woo 2011</t>
  </si>
  <si>
    <t xml:space="preserve">Neuregulin receptor tyrosine kinase. Increased in AD neurons and APP/PS1 mice (Woo 2011); neuregulin-1 and ERBB4 immunoreactivity associated with neuritic plaques (Chaudhury 2003).</t>
  </si>
  <si>
    <t xml:space="preserve">CNTN5</t>
  </si>
  <si>
    <t xml:space="preserve">Dauar 2023; Whitehouse 2013</t>
  </si>
  <si>
    <t xml:space="preserve">Neuronal adhesion molecule of the contactin family. A risk variant is associated with AD pathology and progression measures (Dauar 2023); CNTN5 protein was unchanged in a separate AD brain series (Whitehouse 2013).</t>
  </si>
  <si>
    <t xml:space="preserve">DPP10</t>
  </si>
  <si>
    <t xml:space="preserve">Chen 2014</t>
  </si>
  <si>
    <t xml:space="preserve">Dipeptidyl peptidase-like subunit of Kv4 potassium channels. Abnormally expressed and present in neurofibrillary tangles in AD and other neurodegenerative diseases (Chen 2014).</t>
  </si>
  <si>
    <t xml:space="preserve">HS6ST3</t>
  </si>
  <si>
    <t xml:space="preserve">Rauch 2018; Stopschinski 2018</t>
  </si>
  <si>
    <t xml:space="preserve">Heparan sulfate 6-O-sulfotransferase. Heparan sulfate 6-O-sulfation controls neuronal uptake of tau (Rauch 2018; Stopschinski 2018); those studies examined other family members.</t>
  </si>
  <si>
    <t xml:space="preserve">PDE4B</t>
  </si>
  <si>
    <t xml:space="preserve">Armstrong 2024</t>
  </si>
  <si>
    <t xml:space="preserve">cAMP phosphodiesterase 4B. A hypomorphic Pde4b allele prevents memory and brain metabolism deficits in an App knock-in AD mouse (Armstrong 2024); genetic association with AD cited in that study.</t>
  </si>
  <si>
    <t xml:space="preserve">KCNIP4</t>
  </si>
  <si>
    <t xml:space="preserve">Morohashi 2002; Bellenguez 2022; Dharshini 2026</t>
  </si>
  <si>
    <t xml:space="preserve">Calsenilin-like EF-hand protein (CALP/KChIP4). Binds presenilin 2 and Kv4 channels without altering amyloid processing (Morohashi 2002); not a risk locus in Bellenguez 2022. Key resilience factor in early AD (Dharshini et al 2026)</t>
  </si>
  <si>
    <t xml:space="preserve">SNHG14</t>
  </si>
  <si>
    <t xml:space="preserve">Emerging</t>
  </si>
  <si>
    <t xml:space="preserve">Cai 2021; Xie 2024; Runte 2001</t>
  </si>
  <si>
    <t xml:space="preserve">Imprinted lncRNA host of snoRNAs and the UBE3A antisense transcript (Runte 2001). Increased in AD serum in one study (Cai 2021) and marks an AD brain cell subcluster in a reanalysis (Xie 2024); no genetic or functional AD data.</t>
  </si>
  <si>
    <t xml:space="preserve">DOCK4</t>
  </si>
  <si>
    <t xml:space="preserve">Bone 2021; Bellenguez 2022</t>
  </si>
  <si>
    <t xml:space="preserve">Rac guanine nucleotide exchange factor. Low-frequency coding variant found only in a joint AD and cardiometabolic trait analysis (Bone 2021); not a locus in Bellenguez 2022; no functional AD data.</t>
  </si>
  <si>
    <t xml:space="preserve">SPOCK1</t>
  </si>
  <si>
    <t xml:space="preserve">Ekenel 2025; Bellenguez 2022</t>
  </si>
  <si>
    <t xml:space="preserve">Proteoglycan testican-1. GWAS signal reported by one group and not a locus in Bellenguez 2022; follow-up limited to a conference abstract in cell lines (Ekenel 2025).</t>
  </si>
  <si>
    <t xml:space="preserve">RALYL</t>
  </si>
  <si>
    <t xml:space="preserve">Zhang 2020</t>
  </si>
  <si>
    <t xml:space="preserve">Neuronal RNA-binding protein. Expression falls with AD severity and is higher in individuals with cognitive reserve (Zhang 2020); expression data only.</t>
  </si>
  <si>
    <t xml:space="preserve">LUC7L3</t>
  </si>
  <si>
    <t xml:space="preserve">Bishof 2018</t>
  </si>
  <si>
    <t xml:space="preserve">Splicing factor with a basic-acidic dipeptide domain. Interacts with U1-70K and shows increased insolubility in AD brain (Bishof 2018); single study without genetic or in vivo data.</t>
  </si>
  <si>
    <t xml:space="preserve">RBM25</t>
  </si>
  <si>
    <t xml:space="preserve">QKI</t>
  </si>
  <si>
    <t xml:space="preserve">Farnsworth 2016</t>
  </si>
  <si>
    <t xml:space="preserve">Glial RNA-binding protein. Increased in AD brain, with expression tracking APP, PSEN1, PSEN2 and MAPT (Farnsworth 2016); expression data only.</t>
  </si>
  <si>
    <t xml:space="preserve">ZEB2</t>
  </si>
  <si>
    <t xml:space="preserve">Yanaizu 2025</t>
  </si>
  <si>
    <t xml:space="preserve">Zinc finger E-box-binding transcription factor. Promotes TREM2 expression in a human microglial cell line (Yanaizu 2025); no AD tissue or in vivo data.</t>
  </si>
  <si>
    <t xml:space="preserve">PLXDC2</t>
  </si>
  <si>
    <t xml:space="preserve">Oh 2025</t>
  </si>
  <si>
    <t xml:space="preserve">Plexin domain-containing transmembrane receptor enriched in microglia. Increased in AD brain and cerebrospinal fluid; overexpression impairs amyloid-beta uptake in a microglial cell line (Oh 2025); no in vivo data.</t>
  </si>
  <si>
    <t xml:space="preserve">COPG2</t>
  </si>
  <si>
    <t xml:space="preserve">Low</t>
  </si>
  <si>
    <t xml:space="preserve">Kunkle 2019; Jansen 2019; Bellenguez 2022; Wightman 2021</t>
  </si>
  <si>
    <t xml:space="preserve">COPI coat subunit for Golgi vesicle transport. No AD-specific studies; not a risk locus in large AD GWAS.</t>
  </si>
  <si>
    <t xml:space="preserve">SLC24A2</t>
  </si>
  <si>
    <t xml:space="preserve">Potassium-dependent sodium/calcium exchanger (NCKX2). No AD-specific studies; the AD risk locus is the related gene SLC24A4.</t>
  </si>
  <si>
    <t xml:space="preserve">ANKRD12</t>
  </si>
  <si>
    <t xml:space="preserve">Ankyrin repeat transcriptional corepressor. No AD-specific studies; not a risk locus in large AD GWAS.</t>
  </si>
  <si>
    <t xml:space="preserve">FRMD5</t>
  </si>
  <si>
    <t xml:space="preserve">FERM domain protein. No AD-specific studies; the AD-associated family members are FRMD4A and FRMD6.</t>
  </si>
  <si>
    <t xml:space="preserve">FHIT</t>
  </si>
  <si>
    <t xml:space="preserve">Fragile histidine triad tumor suppressor. No AD-specific studies; not a risk locus in large AD GWAS.</t>
  </si>
  <si>
    <t xml:space="preserve">ROBO2</t>
  </si>
  <si>
    <t xml:space="preserve">SLIT receptor for axon guidance. No AD-specific studies; not a risk locus in large AD GWAS.</t>
  </si>
  <si>
    <t xml:space="preserve">PLCL1</t>
  </si>
  <si>
    <t xml:space="preserve">Catalytically inactive phospholipase C-like protein that regulates GABA-A receptor trafficking. No AD-specific studies; not a risk locus in large AD GWAS.</t>
  </si>
  <si>
    <t xml:space="preserve">ELMO1</t>
  </si>
  <si>
    <t xml:space="preserve">Rac activator in cell engulfment and phagocytosis. No AD-specific studies; not a risk locus in large AD GWAS.</t>
  </si>
  <si>
    <t xml:space="preserve">NPAS3</t>
  </si>
  <si>
    <t xml:space="preserve">Neuronal PAS domain transcription factor linked to psychiatric disorders. No AD-specific studies; not a risk locus in large AD GWAS.</t>
  </si>
  <si>
    <t xml:space="preserve">SLC44A1</t>
  </si>
  <si>
    <t xml:space="preserve">Fagerberg 2020; Kunkle 2019; Jansen 2019; Bellenguez 2022; Wightman 2021</t>
  </si>
  <si>
    <t xml:space="preserve">Choline transporter-like protein 1. Loss-of-function variants cause a childhood-onset neurodegenerative disease (Fagerberg 2020); not associated with AD.</t>
  </si>
  <si>
    <t xml:space="preserve">ARAP2</t>
  </si>
  <si>
    <t xml:space="preserve">Arf and Rho GTPase-activating protein. Suggestive signal in a GWAS of AD endophenotypes only; not a risk locus in large AD GWAS.</t>
  </si>
  <si>
    <t xml:space="preserve">MAN2A1</t>
  </si>
  <si>
    <t xml:space="preserve">Dube 2019; Kunkle 2019; Jansen 2019; Bellenguez 2022; Wightman 2021</t>
  </si>
  <si>
    <t xml:space="preserve">Golgi alpha-mannosidase II. A circular RNA from this locus (circMAN2A1) is altered in AD brain (Dube 2019); no AD studies of the MAN2A1 protein.</t>
  </si>
  <si>
    <t xml:space="preserve">DPYD</t>
  </si>
  <si>
    <t xml:space="preserve">Dihydropyrimidine dehydrogenase in pyrimidine catabolism. No AD-specific studies; not a risk locus in large AD GWAS.</t>
  </si>
  <si>
    <t xml:space="preserve">GRID2</t>
  </si>
  <si>
    <t xml:space="preserve">Delta-2 glutamate receptor that organizes cerebellar synapses. No AD-specific studies; not a risk locus in large AD GWAS.</t>
  </si>
  <si>
    <t xml:space="preserve">DIP2B</t>
  </si>
  <si>
    <t xml:space="preserve">Regulates axon outgrowth through tubulin acetylation. No AD-specific studies; not a risk locus in large AD GWAS.</t>
  </si>
  <si>
    <t xml:space="preserve">FRYL</t>
  </si>
  <si>
    <t xml:space="preserve">Furry-like protein involved in cell morphology. No AD-specific studies; not a risk locus in large AD GWAS.</t>
  </si>
  <si>
    <t xml:space="preserve">TCF12</t>
  </si>
  <si>
    <t xml:space="preserve">E-protein basic helix-loop-helix transcription factor. No AD-specific studies; not a risk locus in large AD GWAS.</t>
  </si>
  <si>
    <t xml:space="preserve">ZC3H13</t>
  </si>
  <si>
    <t xml:space="preserve">Knuckles 2018; Huang 2020</t>
  </si>
  <si>
    <t xml:space="preserve">Component of the m6A (N6-methyladenosine) writer complex (Knuckles 2018). AD studies report altered METTL3 in the same complex (Huang 2020), not ZC3H13.</t>
  </si>
  <si>
    <t xml:space="preserve">EDIL3</t>
  </si>
  <si>
    <t xml:space="preserve">Secreted integrin ligand of the extracellular matrix. No AD-specific studies; not a risk locus in large AD GWAS.</t>
  </si>
  <si>
    <t xml:space="preserve">ZNF91</t>
  </si>
  <si>
    <t xml:space="preserve">KRAB zinc finger protein that represses SVA retrotransposons. No AD-specific studies; not a risk locus in large AD GWAS.</t>
  </si>
  <si>
    <t xml:space="preserve">ENSG00000230021</t>
  </si>
  <si>
    <t xml:space="preserve">Unannotated transcript without an assigned gene symbol; no AD literature linked to this identifier.</t>
  </si>
  <si>
    <t xml:space="preserve">PIP4K2A</t>
  </si>
  <si>
    <t xml:space="preserve">Nguyen 2024; Kunkle 2019; Jansen 2019; Bellenguez 2022; Wightman 2021</t>
  </si>
  <si>
    <t xml:space="preserve">Phosphatidylinositol-5-phosphate 4-kinase. Identified only in a bioinformatic blood transcriptome analysis of AD with type 2 diabetes (Nguyen 2024); no tissue or functional AD data.</t>
  </si>
  <si>
    <t xml:space="preserve">SLAIN1</t>
  </si>
  <si>
    <t xml:space="preserve">Microtubule plus-end tracking protein. No AD-specific studies; not a risk locus in large AD GWAS.</t>
  </si>
  <si>
    <t xml:space="preserve">MAP1B</t>
  </si>
  <si>
    <t xml:space="preserve">Hasegawa 1990</t>
  </si>
  <si>
    <t xml:space="preserve">Microtubule-associated protein 1B. Phosphorylated MAP1B fragments are bound to neurofibrillary tangles (Hasegawa 1990).</t>
  </si>
  <si>
    <t xml:space="preserve">AKAP9</t>
  </si>
  <si>
    <t xml:space="preserve">Logue 2014; Ikezu 2018</t>
  </si>
  <si>
    <t xml:space="preserve">A-kinase anchoring protein. Two rare missense variants associated with AD in African Americans (Logue 2014); patient cell lines carrying these variants show increased tau phosphorylation (Ikezu 2018).</t>
  </si>
  <si>
    <t xml:space="preserve">LRP1B</t>
  </si>
  <si>
    <t xml:space="preserve">Cam 2004</t>
  </si>
  <si>
    <t xml:space="preserve">LDL receptor-related protein 1B. Binds APP, retains it at the cell surface, and lowers amyloid-beta production in cell models (Cam 2004).</t>
  </si>
  <si>
    <t xml:space="preserve">CNTNAP2</t>
  </si>
  <si>
    <t xml:space="preserve">van Abel 2012; Jansen 2019</t>
  </si>
  <si>
    <t xml:space="preserve">Contactin-associated neurexin-family protein. Rare-variant AD locus in one cohort of Jansen 2019; reduced in late-onset AD hippocampus through STOX1A repression (van Abel 2012).</t>
  </si>
  <si>
    <t xml:space="preserve">SRSF11</t>
  </si>
  <si>
    <t xml:space="preserve">Wu 2006</t>
  </si>
  <si>
    <t xml:space="preserve">Serine/arginine-rich splicing factor (SRp54). Represses tau exon 10 inclusion and so shifts the 3R/4R tau balance in cell assays (Wu 2006); no AD-specific data.</t>
  </si>
  <si>
    <t xml:space="preserve">LRFN5</t>
  </si>
  <si>
    <t xml:space="preserve">Synaptic adhesion-like molecule (SALM5). No AD-specific studies; not a risk locus in large AD GWAS.</t>
  </si>
  <si>
    <t xml:space="preserve">TENM2</t>
  </si>
  <si>
    <t xml:space="preserve">Med Hypotheses 2015; Kunkle 2019; Jansen 2019; Bellenguez 2022; Wightman 2021</t>
  </si>
  <si>
    <t xml:space="preserve">Teneurin-2 synaptic adhesion protein. Discussed only in a hypothesis paper on the teneurin family (Med Hypotheses 2015); no AD data for TENM2.</t>
  </si>
  <si>
    <t xml:space="preserve">PNISR</t>
  </si>
  <si>
    <t xml:space="preserve">Nuclear serine/arginine-rich splicing-associated protein. No AD-specific studies; not a risk locus in large AD GWAS.</t>
  </si>
  <si>
    <t xml:space="preserve">CDH12</t>
  </si>
  <si>
    <t xml:space="preserve">Brain-expressed type II classical cadherin. No AD-specific studies; not a risk locus in large AD GWAS.</t>
  </si>
  <si>
    <t xml:space="preserve">ANKRD26</t>
  </si>
  <si>
    <t xml:space="preserve">Ankyrin repeat protein; germline variants cause inherited thrombocytopenia. No AD-specific studies; not a risk locus in large AD GWAS.</t>
  </si>
  <si>
    <t xml:space="preserve">PRRC2C</t>
  </si>
  <si>
    <t xml:space="preserve">Proline-rich coiled-coil protein and stress granule component. No AD-specific studies; not a risk locus in large AD GWAS.</t>
  </si>
  <si>
    <t xml:space="preserve">ENSG00000274422</t>
  </si>
  <si>
    <t xml:space="preserve">BDP1</t>
  </si>
  <si>
    <t xml:space="preserve">Subunit of the RNA polymerase III initiation factor TFIIIB. No AD-specific studies; not a risk locus in large AD GWAS.</t>
  </si>
  <si>
    <t xml:space="preserve">TAFA2</t>
  </si>
  <si>
    <t xml:space="preserve">Brain-expressed secreted chemokine-like protein. No AD-specific studies; not a risk locus in large AD GWAS.</t>
  </si>
  <si>
    <t xml:space="preserve">EPIC1</t>
  </si>
  <si>
    <t xml:space="preserve">Sun 2019</t>
  </si>
  <si>
    <t xml:space="preserve">MYC-interacting lncRNA. Protects cultured neurons from oxidative injury (Sun 2019); not studied in AD.</t>
  </si>
  <si>
    <t xml:space="preserve">TMSB4X</t>
  </si>
  <si>
    <t xml:space="preserve">Zeng 2025</t>
  </si>
  <si>
    <t xml:space="preserve">Thymosin beta 4. Reduced in neurons of familial AD organoids and in excitatory neurons of AD brain; thymosin beta 4 treatment reduces amyloid and neuronal deficits in organoids and AD model mice (Zeng 2025).</t>
  </si>
  <si>
    <t xml:space="preserve">SPARCL1</t>
  </si>
  <si>
    <t xml:space="preserve">Seddighi 2018; Cabral-Miranda 2025</t>
  </si>
  <si>
    <t xml:space="preserve">Astrocyte-secreted synaptogenic protein (hevin). Variants lowering expression are linked to earlier symptom onset (Seddighi 2018), whereas astrocytic overexpression is protective in AD mice (Cabral-Miranda 2025); direction of effect unresolved.</t>
  </si>
  <si>
    <t xml:space="preserve">ENO2</t>
  </si>
  <si>
    <t xml:space="preserve">Schmidt 2014; Katayama 2021</t>
  </si>
  <si>
    <t xml:space="preserve">Neuron-specific enolase. Elevated in AD cerebrospinal fluid (Schmidt 2014; meta-analysis in Katayama 2021); reflects neuronal injury with no evidence of a causal role.</t>
  </si>
  <si>
    <t xml:space="preserve">SNTG1</t>
  </si>
  <si>
    <t xml:space="preserve">Velez 2019</t>
  </si>
  <si>
    <t xml:space="preserve">Gamma-1-syntrophin. A variant interacts with APOE e2 to delay onset in PSEN1 E280A carriers in one small cohort (Velez 2019).</t>
  </si>
  <si>
    <t xml:space="preserve">KIAA1217</t>
  </si>
  <si>
    <t xml:space="preserve">Zhang 2016; Kunkle 2019; Jansen 2019; Bellenguez 2022; Wightman 2021</t>
  </si>
  <si>
    <t xml:space="preserve">Host gene of the primate-specific miR-603. An AD-associated variant lies in the miR-603 precursor (Zhang 2016); no AD studies of KIAA1217 itself.</t>
  </si>
  <si>
    <t xml:space="preserve">SGCZ</t>
  </si>
  <si>
    <t xml:space="preserve">Zeta-sarcoglycan of the dystrophin-associated complex. No AD-specific studies; not a risk locus in large AD GWAS.</t>
  </si>
  <si>
    <t xml:space="preserve">LINC00342</t>
  </si>
  <si>
    <t xml:space="preserve">Long intergenic noncoding RNA. No AD-specific studies; not a risk locus in large AD GWAS.</t>
  </si>
  <si>
    <t xml:space="preserve">DYNC2I1</t>
  </si>
  <si>
    <t xml:space="preserve">Intermediate chain of the dynein-2 ciliary transport motor. No AD-specific studies; not a risk locus in large AD GWAS.</t>
  </si>
  <si>
    <t xml:space="preserve">MGAT4C</t>
  </si>
  <si>
    <t xml:space="preserve">Gene 2021; Kunkle 2019; Jansen 2019; Bellenguez 2022; Wightman 2021</t>
  </si>
  <si>
    <t xml:space="preserve">N-acetylglucosaminyltransferase for N-glycan branching. One rare deletion in 35 patients with major neurocognitive disorder (Gene 2021); not specific to AD.</t>
  </si>
  <si>
    <t xml:space="preserve">PPIG</t>
  </si>
  <si>
    <t xml:space="preserve">Nuclear cyclophilin G associated with splicing factors. No AD-specific studies; not a risk locus in large AD GWAS.</t>
  </si>
  <si>
    <t xml:space="preserve">GALNTL6</t>
  </si>
  <si>
    <t xml:space="preserve">Polypeptide N-acetylgalactosaminyltransferase for O-linked glycosylation. No AD-specific studies; not a risk locus in large AD GWAS.</t>
  </si>
  <si>
    <t xml:space="preserve">SREK1</t>
  </si>
  <si>
    <t xml:space="preserve">Splicing regulatory protein. Its binding partner p18SRP (SREK1IP1), not SREK1, is reduced in AD brain; No AD-specific studies; not a risk locus in large AD GWAS.</t>
  </si>
  <si>
    <t xml:space="preserve">SLC1A2</t>
  </si>
  <si>
    <t xml:space="preserve">Masliah 1996</t>
  </si>
  <si>
    <t xml:space="preserve">Principal astrocytic glutamate transporter (EAAT2/GLT-1). Glutamate transport is reduced in AD cortex in proportion to neurodegeneration (Masliah 1996).</t>
  </si>
  <si>
    <t xml:space="preserve">NEAT1</t>
  </si>
  <si>
    <t xml:space="preserve">Wang 2019</t>
  </si>
  <si>
    <t xml:space="preserve">Nuclear lncRNA. Regulates glial clearance of amyloid-beta through epigenetic control of endocytosis genes (Wang 2019).</t>
  </si>
  <si>
    <t xml:space="preserve">ATP1A2</t>
  </si>
  <si>
    <t xml:space="preserve">Mann 2022</t>
  </si>
  <si>
    <t xml:space="preserve">Astrocytic alpha-2 Na+/K+ ATPase that supports glutamate clearance. Increased in AD and tauopathy brain; astrocytic inhibition reduces reactivity and neurodegeneration in a tauopathy mouse model (Mann 2022).</t>
  </si>
  <si>
    <t xml:space="preserve">GLUL</t>
  </si>
  <si>
    <t xml:space="preserve">Robinson 2000; Olabarria 2011; Kulijewicz-Nawrot 2013</t>
  </si>
  <si>
    <t xml:space="preserve">Glutamine synthetase of the astrocytic glutamate-glutamine cycle. Reduced in hippocampal astrocytes of AD mouse models (Olabarria 2011; Kulijewicz-Nawrot 2013); aberrant neuronal expression in AD brain (Robinson 2000).</t>
  </si>
  <si>
    <t xml:space="preserve">NDRG2</t>
  </si>
  <si>
    <t xml:space="preserve">Mitchelmore 2004</t>
  </si>
  <si>
    <t xml:space="preserve">Astrocyte-enriched protein. Increased in AD brain at the RNA and protein level and present in senile plaques and dystrophic neurites (Mitchelmore 2004).</t>
  </si>
  <si>
    <t xml:space="preserve">FGFR3</t>
  </si>
  <si>
    <t xml:space="preserve">Kim 2024</t>
  </si>
  <si>
    <t xml:space="preserve">Fibroblast growth factor receptor 3. Acts as a neuronal receptor for extracellular tau; amyloid-beta promotes FGFR3-mediated tau uptake, and hippocampal knockdown reduces tau aggregation and improves memory in AD model mice (Kim 2024).</t>
  </si>
  <si>
    <t xml:space="preserve">HPSE2</t>
  </si>
  <si>
    <t xml:space="preserve">Garcia 2017</t>
  </si>
  <si>
    <t xml:space="preserve">Heparan sulfate-binding heparanase homolog without enzymatic activity. Increased in AD brain in a stage-dependent manner and present in neuritic plaques (Garcia 2017); expression data only.</t>
  </si>
  <si>
    <t xml:space="preserve">LINC00486</t>
  </si>
  <si>
    <t xml:space="preserve">DLC1</t>
  </si>
  <si>
    <t xml:space="preserve">Rho GTPase-activating protein and tumor suppressor. Sub-threshold entry in the GWAS catalog only; No AD-specific studies; not a risk locus in large AD GWAS.</t>
  </si>
  <si>
    <t xml:space="preserve">MIR9-1HG</t>
  </si>
  <si>
    <t xml:space="preserve">Host gene of miR-9-1. AD studies concern miR-9 itself rather than this transcript; No AD-specific studies; not a risk locus in large AD GWAS.</t>
  </si>
  <si>
    <t xml:space="preserve">SYNE1</t>
  </si>
  <si>
    <t xml:space="preserve">Nesprin-1 nuclear envelope protein; recessive variants cause cerebellar ataxia. No AD-specific studies; not a risk locus in large AD GWAS.</t>
  </si>
  <si>
    <t xml:space="preserve">COL5A3</t>
  </si>
  <si>
    <t xml:space="preserve">Alpha-3 chain of type V collagen. No AD-specific studies; not a risk locus in large AD GWAS.</t>
  </si>
  <si>
    <t xml:space="preserve">MEF2C</t>
  </si>
  <si>
    <t xml:space="preserve">Lambert 2013; Deczkowska 2017</t>
  </si>
  <si>
    <t xml:space="preserve">Transcription factor. AD risk locus in Lambert 2013, not genome-wide significant in Kunkle 2019; restrains the microglial inflammatory response and is lost with brain ageing (Deczkowska 2017).</t>
  </si>
  <si>
    <t xml:space="preserve">C3</t>
  </si>
  <si>
    <t xml:space="preserve">Hong 2016; Shi 2017; Wu 2019</t>
  </si>
  <si>
    <t xml:space="preserve">Central complement component. Activated in AD brain; mediates microglial synapse elimination, and C3 deficiency protects against synapse loss and neurodegeneration in amyloid and tau mouse models (Hong 2016; Shi 2017; Wu 2019).</t>
  </si>
  <si>
    <t xml:space="preserve">SAT1</t>
  </si>
  <si>
    <t xml:space="preserve">Mahajan 2020; Sandusky-Beltran 2019</t>
  </si>
  <si>
    <t xml:space="preserve">Spermidine/spermine N1-acetyltransferase in polyamine catabolism. Increased in AD hippocampus and entorhinal cortex (Mahajan 2020); regulates the tau-induced polyamine stress response, and its knockout alters tau pathology in mice (Sandusky-Beltran 2019).</t>
  </si>
  <si>
    <t xml:space="preserve">CD74</t>
  </si>
  <si>
    <t xml:space="preserve">Matsuda 2009</t>
  </si>
  <si>
    <t xml:space="preserve">MHC class II invariant chain. Binds APP and lowers amyloid-beta production in cell models (Matsuda 2009).</t>
  </si>
  <si>
    <t xml:space="preserve">ST6GAL1</t>
  </si>
  <si>
    <t xml:space="preserve">Yang 2026</t>
  </si>
  <si>
    <t xml:space="preserve">Beta-galactoside alpha-2,6-sialyltransferase. Elevated in AD patient cerebrospinal fluid and serum; knockdown lowers BACE1 and amyloid-beta 42 in neuroblastoma cells, and knockout rats show lower brain BACE1 (Yang 2026).</t>
  </si>
  <si>
    <t xml:space="preserve">ST6GALNAC3</t>
  </si>
  <si>
    <t xml:space="preserve">Tang 2023</t>
  </si>
  <si>
    <t xml:space="preserve">Alpha-2,6-sialyltransferase. Increased expression in AD brain in a single transcriptomic study (Tang 2023).</t>
  </si>
  <si>
    <t xml:space="preserve">NAV3</t>
  </si>
  <si>
    <t xml:space="preserve">Shioya 2010</t>
  </si>
  <si>
    <t xml:space="preserve">Neuron navigator 3. Increased in AD brain following loss of its regulator miR-29a (Shioya 2010); single study.</t>
  </si>
  <si>
    <t xml:space="preserve">LINC02798</t>
  </si>
  <si>
    <t xml:space="preserve">ATRX</t>
  </si>
  <si>
    <t xml:space="preserve">Shafiq 2025; Kunkle 2019; Jansen 2019; Bellenguez 2022; Wightman 2021</t>
  </si>
  <si>
    <t xml:space="preserve">Chromatin remodeler. Microglial deletion in otherwise healthy mice triggers an interferon response and memory deficits (Shafiq 2025); not studied in AD.</t>
  </si>
  <si>
    <t xml:space="preserve">LNCAROD</t>
  </si>
  <si>
    <t xml:space="preserve">Long noncoding RNA studied in cancer. No AD-specific studies; not a risk locus in large AD GWAS.</t>
  </si>
  <si>
    <t xml:space="preserve">SDK1</t>
  </si>
  <si>
    <t xml:space="preserve">Sidekick immunoglobulin-superfamily adhesion molecule. No AD-specific studies; not a risk locus in large AD GWAS.</t>
  </si>
  <si>
    <t xml:space="preserve">ENSG00000285534</t>
  </si>
  <si>
    <t xml:space="preserve">SYNDIG1</t>
  </si>
  <si>
    <t xml:space="preserve">Synapse differentiation-inducing protein that regulates AMPA receptor clustering. No AD-specific studies; not a risk locus in large AD GWAS.</t>
  </si>
  <si>
    <t xml:space="preserve">PRPF38B</t>
  </si>
  <si>
    <t xml:space="preserve">Pre-mRNA processing factor. No AD-specific studies; not a risk locus in large AD GWAS.</t>
  </si>
  <si>
    <t xml:space="preserve">Reference</t>
  </si>
  <si>
    <t xml:space="preserve">Full citation</t>
  </si>
  <si>
    <t xml:space="preserve">Link</t>
  </si>
  <si>
    <t xml:space="preserve">Kunkle 2019</t>
  </si>
  <si>
    <t xml:space="preserve">Kunkle BW, et al. Genetic meta-analysis of diagnosed Alzheimer's disease identifies new risk loci and implicates Abeta, tau, immunity and lipid processing. Nat Genet. 2019;51:414-430.</t>
  </si>
  <si>
    <t xml:space="preserve">https://doi.org/10.1038/s41588-019-0358-2</t>
  </si>
  <si>
    <t xml:space="preserve">Jansen 2019</t>
  </si>
  <si>
    <t xml:space="preserve">Jansen IE, et al. Genome-wide meta-analysis identifies new loci and functional pathways influencing Alzheimer's disease risk. Nat Genet. 2019;51:404-413.</t>
  </si>
  <si>
    <t xml:space="preserve">https://doi.org/10.1038/s41588-018-0311-9</t>
  </si>
  <si>
    <t xml:space="preserve">Bellenguez 2022</t>
  </si>
  <si>
    <t xml:space="preserve">Bellenguez C, et al. New insights into the genetic etiology of Alzheimer's disease and related dementias. Nat Genet. 2022;54:412-436.</t>
  </si>
  <si>
    <t xml:space="preserve">https://doi.org/10.1038/s41588-022-01024-z</t>
  </si>
  <si>
    <t xml:space="preserve">Wightman 2021</t>
  </si>
  <si>
    <t xml:space="preserve">Wightman DP, et al. A genome-wide association study with 1,126,563 individuals identifies new risk loci for Alzheimer's disease. Nat Genet. 2021;53:1276-1282.</t>
  </si>
  <si>
    <t xml:space="preserve">https://doi.org/10.1038/s41588-021-00921-z</t>
  </si>
  <si>
    <t xml:space="preserve">Sze 2004</t>
  </si>
  <si>
    <t xml:space="preserve">Sze CI, et al. Down-regulation of WW domain-containing oxidoreductase induces Tau phosphorylation in vitro. A potential role in Alzheimer's disease. J Biol Chem. 2004;279:30498-30506.</t>
  </si>
  <si>
    <t xml:space="preserve">https://doi.org/10.1074/jbc.M401399200</t>
  </si>
  <si>
    <t xml:space="preserve">Leshchyns'ka 2015</t>
  </si>
  <si>
    <t xml:space="preserve">Leshchyns'ka I, et al. Abeta-dependent reduction of NCAM2-mediated synaptic adhesion contributes to synapse loss in Alzheimer's disease. Nat Commun. 2015;6:8836.</t>
  </si>
  <si>
    <t xml:space="preserve">https://doi.org/10.1038/ncomms9836</t>
  </si>
  <si>
    <t xml:space="preserve">Dickey 2007</t>
  </si>
  <si>
    <t xml:space="preserve">Dickey CA, et al. The high-affinity HSP90-CHIP complex recognizes and selectively degrades phosphorylated tau client proteins. J Clin Invest. 2007;117:648-658.</t>
  </si>
  <si>
    <t xml:space="preserve">https://doi.org/10.1172/JCI29715</t>
  </si>
  <si>
    <t xml:space="preserve">Luo 2007</t>
  </si>
  <si>
    <t xml:space="preserve">Luo W, et al. Roles of heat-shock protein 90 in maintaining and facilitating the neurodegenerative phenotype in tauopathies. Proc Natl Acad Sci USA. 2007;104:9511-9516.</t>
  </si>
  <si>
    <t xml:space="preserve">https://doi.org/10.1073/pnas.0701055104</t>
  </si>
  <si>
    <t xml:space="preserve">Chaudhury 2003</t>
  </si>
  <si>
    <t xml:space="preserve">Chaudhury AR, et al. Neuregulin-1 and erbB4 immunoreactivity is associated with neuritic plaques in Alzheimer disease brain and in a transgenic model of Alzheimer disease. J Neuropathol Exp Neurol. 2003;62:42-54.</t>
  </si>
  <si>
    <t xml:space="preserve">https://doi.org/10.1093/jnen/62.1.42</t>
  </si>
  <si>
    <t xml:space="preserve">Sytnyk 2017</t>
  </si>
  <si>
    <t xml:space="preserve">Sytnyk V, Leshchyns'ka I, Schachner M. Neural cell adhesion molecules of the immunoglobulin superfamily regulate synapse formation, maintenance, and function. Trends Neurosci. 2017;40:295-308.</t>
  </si>
  <si>
    <t xml:space="preserve">https://doi.org/10.1016/j.tins.2017.03.003</t>
  </si>
  <si>
    <t xml:space="preserve">Woo 2011</t>
  </si>
  <si>
    <t xml:space="preserve">Woo RS, et al. Expression of ErbB4 in the neurons of Alzheimer's disease brain and APP/PS1 mice, a model of Alzheimer's disease. Anat Cell Biol. 2011;44:116-127.</t>
  </si>
  <si>
    <t xml:space="preserve">https://doi.org/10.5115/acb.2011.44.2.116</t>
  </si>
  <si>
    <t xml:space="preserve">Chen T, Gai WP, Abbott CA. Dipeptidyl peptidase 10 (DPP10789): a voltage gated potassium channel associated protein is abnormally expressed in Alzheimer's and other neurodegenerative diseases. Biomed Res Int. 2014;2014:209398.</t>
  </si>
  <si>
    <t xml:space="preserve">https://doi.org/10.1155/2014/209398</t>
  </si>
  <si>
    <t xml:space="preserve">Dauar 2023</t>
  </si>
  <si>
    <t xml:space="preserve">Dauar MT, et al. Characterization of the contactin 5 protein and its risk-associated polymorphic variant throughout the Alzheimer's disease spectrum. Alzheimers Dement. 2023;19:2816-2830.</t>
  </si>
  <si>
    <t xml:space="preserve">https://doi.org/10.1002/alz.12868</t>
  </si>
  <si>
    <t xml:space="preserve">Whitehouse 2013</t>
  </si>
  <si>
    <t xml:space="preserve">Whitehouse IJ, et al. Prion protein is decreased in Alzheimer's brain and inversely correlates with BACE1 activity, amyloid-beta levels and Braak stage. PLoS One. 2013;8:e59554.</t>
  </si>
  <si>
    <t xml:space="preserve">https://doi.org/10.1371/journal.pone.0059554</t>
  </si>
  <si>
    <t xml:space="preserve">Rauch 2018</t>
  </si>
  <si>
    <t xml:space="preserve">Rauch JN, et al. Tau internalization is regulated by 6-O sulfation on heparan sulfate proteoglycans (HSPGs). Sci Rep. 2018;8:6382.</t>
  </si>
  <si>
    <t xml:space="preserve">https://doi.org/10.1038/s41598-018-24904-z</t>
  </si>
  <si>
    <t xml:space="preserve">Stopschinski 2018</t>
  </si>
  <si>
    <t xml:space="preserve">Stopschinski BE, et al. Specific glycosaminoglycan chain length and sulfation patterns are required for cell uptake of tau versus alpha-synuclein and beta-amyloid aggregates. J Biol Chem. 2018;293:10826-10840.</t>
  </si>
  <si>
    <t xml:space="preserve">https://doi.org/10.1074/jbc.RA117.000378</t>
  </si>
  <si>
    <t xml:space="preserve">Cai 2021</t>
  </si>
  <si>
    <t xml:space="preserve">Cai H, et al. A signature of five long non-coding RNAs for predicting the prognosis of Alzheimer's disease based on competing endogenous RNA networks. Front Aging Neurosci. 2021;12:598606.</t>
  </si>
  <si>
    <t xml:space="preserve">https://doi.org/10.3389/fnagi.2020.598606</t>
  </si>
  <si>
    <t xml:space="preserve">Xie 2024</t>
  </si>
  <si>
    <t xml:space="preserve">Xie J, et al. Single-nucleus analysis reveals microenvironment-specific neuron and glial cell enrichment in Alzheimer's disease. BMC Genomics. 2024;25:526.</t>
  </si>
  <si>
    <t xml:space="preserve">https://doi.org/10.1186/s12864-024-10447-3</t>
  </si>
  <si>
    <t xml:space="preserve">Runte 2001</t>
  </si>
  <si>
    <t xml:space="preserve">Runte M, et al. The IC-SNURF-SNRPN transcript serves as a host for multiple small nucleolar RNA species and as an antisense RNA for UBE3A. Hum Mol Genet. 2001;10:2687-2700.</t>
  </si>
  <si>
    <t xml:space="preserve">https://pubmed.ncbi.nlm.nih.gov/11726556/</t>
  </si>
  <si>
    <t xml:space="preserve">Ekenel 2025</t>
  </si>
  <si>
    <t xml:space="preserve">Qomi Ekenel E, et al. Investigation of Alzheimer's disease-associated effect of SPOCK1 protein on apoptosis in nerve cells. Alzheimers Dement. 2025;21(Suppl 1):e105818.</t>
  </si>
  <si>
    <t xml:space="preserve">https://doi.org/10.1002/alz70855_105818</t>
  </si>
  <si>
    <t xml:space="preserve">Bone 2021</t>
  </si>
  <si>
    <t xml:space="preserve">Bone WP, et al. Multi-trait association studies discover pleiotropic loci between Alzheimer's disease and cardiometabolic traits. Alzheimers Res Ther. 2021;13:34.</t>
  </si>
  <si>
    <t xml:space="preserve">https://doi.org/10.1186/s13195-021-00773-z</t>
  </si>
  <si>
    <t xml:space="preserve">Morohashi 2002</t>
  </si>
  <si>
    <t xml:space="preserve">Morohashi Y, et al. Molecular cloning and characterization of CALP/KChIP4, a novel EF-hand protein interacting with presenilin 2 and voltage-gated potassium channel subunit Kv4. J Biol Chem. 2002;277:14965-14975.</t>
  </si>
  <si>
    <t xml:space="preserve">https://doi.org/10.1074/jbc.M200897200</t>
  </si>
  <si>
    <t xml:space="preserve">Knuckles 2018</t>
  </si>
  <si>
    <t xml:space="preserve">Knuckles P, et al. Zc3h13/Flacc is required for adenosine methylation by bridging the mRNA-binding factor Rbm15/Spenito to the m6A machinery component Wtap/Fl(2)d. Genes Dev. 2018;32:415-429.</t>
  </si>
  <si>
    <t xml:space="preserve">https://doi.org/10.1101/gad.309146.117</t>
  </si>
  <si>
    <t xml:space="preserve">Huang 2020</t>
  </si>
  <si>
    <t xml:space="preserve">Huang H, et al. Altered expression of the m6A methyltransferase METTL3 in Alzheimer's disease. eNeuro. 2020;7:ENEURO.0125-20.2020.</t>
  </si>
  <si>
    <t xml:space="preserve">https://doi.org/10.1523/ENEURO.0125-20.2020</t>
  </si>
  <si>
    <t xml:space="preserve">Masliah E, et al. Deficient glutamate transport is associated with neurodegeneration in Alzheimer's disease. Ann Neurol. 1996;40:759-766.</t>
  </si>
  <si>
    <t xml:space="preserve">https://doi.org/10.1002/ana.410400512</t>
  </si>
  <si>
    <t xml:space="preserve">Robinson 2000</t>
  </si>
  <si>
    <t xml:space="preserve">Robinson SR. Neuronal expression of glutamine synthetase in Alzheimer's disease indicates a profound impairment of metabolic interactions with astrocytes. Neurochem Int. 2000;36:471-482.</t>
  </si>
  <si>
    <t xml:space="preserve">https://pubmed.ncbi.nlm.nih.gov/10733015/</t>
  </si>
  <si>
    <t xml:space="preserve">Olabarria 2011</t>
  </si>
  <si>
    <t xml:space="preserve">Olabarria M, et al. Age-dependent decrease in glutamine synthetase expression in the hippocampal astroglia of the triple transgenic Alzheimer's disease mouse model. Mol Neurodegener. 2011;6:55.</t>
  </si>
  <si>
    <t xml:space="preserve">https://doi.org/10.1186/1750-1326-6-55</t>
  </si>
  <si>
    <t xml:space="preserve">Kulijewicz-Nawrot 2013</t>
  </si>
  <si>
    <t xml:space="preserve">Kulijewicz-Nawrot M, et al. Astrocytes and glutamate homoeostasis in Alzheimer's disease: a decrease in glutamine synthetase, but not in glutamate transporter-1, in the prefrontal cortex. ASN Neuro. 2013;5:273-282.</t>
  </si>
  <si>
    <t xml:space="preserve">https://doi.org/10.1042/AN20130017</t>
  </si>
  <si>
    <t xml:space="preserve">Mitchelmore C, et al. NDRG2: a novel Alzheimer's disease associated protein. Neurobiol Dis. 2004;16:48-58.</t>
  </si>
  <si>
    <t xml:space="preserve">https://pubmed.ncbi.nlm.nih.gov/15207261/</t>
  </si>
  <si>
    <t xml:space="preserve">Mann CN, et al. Astrocytic alpha2-Na+/K+ ATPase inhibition suppresses astrocyte reactivity and reduces neurodegeneration in a tauopathy mouse model. Sci Transl Med. 2022;14:eabm4107.</t>
  </si>
  <si>
    <t xml:space="preserve">https://doi.org/10.1126/scitranslmed.abm4107</t>
  </si>
  <si>
    <t xml:space="preserve">Cam JA, et al. The low density lipoprotein receptor-related protein 1B retains beta-amyloid precursor protein at the cell surface and reduces amyloid-beta peptide production. J Biol Chem. 2004;279:29639-29646.</t>
  </si>
  <si>
    <t xml:space="preserve">https://pubmed.ncbi.nlm.nih.gov/15126508/</t>
  </si>
  <si>
    <t xml:space="preserve">Logue 2014</t>
  </si>
  <si>
    <t xml:space="preserve">Logue MW, et al. Two rare AKAP9 variants are associated with Alzheimer disease in African Americans. Alzheimers Dement. 2014;10:609-618.e11.</t>
  </si>
  <si>
    <t xml:space="preserve">https://doi.org/10.1016/j.jalz.2014.06.010</t>
  </si>
  <si>
    <t xml:space="preserve">Hasegawa M, et al. Immunochemical evidence that fragments of phosphorylated MAP5 (MAP1B) are bound to neurofibrillary tangles in Alzheimer's disease. Neuron. 1990;4:909-918.</t>
  </si>
  <si>
    <t xml:space="preserve">https://www.sciencedirect.com/science/article/abs/pii/0896627390901445</t>
  </si>
  <si>
    <t xml:space="preserve">Zeng PM, Sun XY, Li Y, et al. Thymosin beta 4 as an Alzheimer disease intervention target identified using human brain organoids. Stem Cell Reports. 2025.</t>
  </si>
  <si>
    <t xml:space="preserve">https://doi.org/10.1016/j.stemcr.2025.102601</t>
  </si>
  <si>
    <t xml:space="preserve">Wang Z, et al. NEAT1 regulates neuroglial cell mediating Abeta clearance via the epigenetic regulation of endocytosis-related genes expression. Cell Mol Life Sci. 2019;76:3005-3018.</t>
  </si>
  <si>
    <t xml:space="preserve">https://doi.org/10.1007/s00018-019-03074-9</t>
  </si>
  <si>
    <t xml:space="preserve">Seddighi 2018</t>
  </si>
  <si>
    <t xml:space="preserve">Seddighi S, et al. SPARCL1 accelerates symptom onset in Alzheimer's disease and influences brain structure and function during aging. J Alzheimers Dis. 2018;61:401-414.</t>
  </si>
  <si>
    <t xml:space="preserve">https://doi.org/10.3233/JAD-170557</t>
  </si>
  <si>
    <t xml:space="preserve">Cabral-Miranda 2025</t>
  </si>
  <si>
    <t xml:space="preserve">Cabral-Miranda F, et al. Astrocytic Hevin/SPARCL-1 regulates cognitive decline in pathological and normal brain aging. Aging Cell. 2025;24:e14493.</t>
  </si>
  <si>
    <t xml:space="preserve">https://doi.org/10.1111/acel.14493</t>
  </si>
  <si>
    <t xml:space="preserve">Schmidt 2014</t>
  </si>
  <si>
    <t xml:space="preserve">Schmidt FM, et al. Elevated levels of cerebrospinal fluid neuron-specific enolase (NSE) in Alzheimer's disease. Neurosci Lett. 2014;570:81-85.</t>
  </si>
  <si>
    <t xml:space="preserve">https://www.sciencedirect.com/science/article/abs/pii/S0304394014003024</t>
  </si>
  <si>
    <t xml:space="preserve">Katayama 2021</t>
  </si>
  <si>
    <t xml:space="preserve">Katayama T, et al. Meta-analysis of cerebrospinal fluid neuron-specific enolase levels in Alzheimer's disease, Parkinson's disease, dementia with Lewy bodies, and multiple system atrophy. Alzheimers Res Ther. 2021;13:163.</t>
  </si>
  <si>
    <t xml:space="preserve">https://doi.org/10.1186/s13195-021-00907-3</t>
  </si>
  <si>
    <t xml:space="preserve">van Abel 2012</t>
  </si>
  <si>
    <t xml:space="preserve">van Abel D, et al. Direct downregulation of CNTNAP2 by STOX1A is associated with Alzheimer's disease. J Alzheimers Dis. 2012;31:793-800.</t>
  </si>
  <si>
    <t xml:space="preserve">https://doi.org/10.3233/JAD-2012-120472</t>
  </si>
  <si>
    <t xml:space="preserve">Armstrong P, et al. Protective effect of PDE4B subtype-specific inhibition in an App knock-in mouse model for Alzheimer's disease. Neuropsychopharmacology. 2024.</t>
  </si>
  <si>
    <t xml:space="preserve">https://pmc.ncbi.nlm.nih.gov/articles/PMC11319650</t>
  </si>
  <si>
    <t xml:space="preserve">Ikezu 2018</t>
  </si>
  <si>
    <t xml:space="preserve">Ikezu T, et al. Tau phosphorylation is impacted by rare AKAP9 mutations associated with Alzheimer disease in African Americans. J Neuroimmune Pharmacol. 2018;13:254-264.</t>
  </si>
  <si>
    <t xml:space="preserve">https://doi.org/10.1007/s11481-018-9781-x</t>
  </si>
  <si>
    <t xml:space="preserve">Lambert 2013</t>
  </si>
  <si>
    <t xml:space="preserve">Lambert JC, et al. Meta-analysis of 74,046 individuals identifies 11 new susceptibility loci for Alzheimer's disease. Nat Genet. 2013;45:1452-1458.</t>
  </si>
  <si>
    <t xml:space="preserve">https://doi.org/10.1038/ng.2802</t>
  </si>
  <si>
    <t xml:space="preserve">Deczkowska 2017</t>
  </si>
  <si>
    <t xml:space="preserve">Deczkowska A, et al. Mef2C restrains microglial inflammatory response and is lost in brain ageing in an IFN-I-dependent manner. Nat Commun. 2017;8:717.</t>
  </si>
  <si>
    <t xml:space="preserve">https://doi.org/10.1038/s41467-017-00769-0</t>
  </si>
  <si>
    <t xml:space="preserve">Hong 2016</t>
  </si>
  <si>
    <t xml:space="preserve">Hong S, et al. Complement and microglia mediate early synapse loss in Alzheimer mouse models. Science. 2016;352:712-716.</t>
  </si>
  <si>
    <t xml:space="preserve">https://doi.org/10.1126/science.aad8373</t>
  </si>
  <si>
    <t xml:space="preserve">Shi 2017</t>
  </si>
  <si>
    <t xml:space="preserve">Shi Q, et al. Complement C3 deficiency protects against neurodegeneration in aged plaque-rich APP/PS1 mice. Sci Transl Med. 2017;9:eaaf6295.</t>
  </si>
  <si>
    <t xml:space="preserve">https://doi.org/10.1126/scitranslmed.aaf6295</t>
  </si>
  <si>
    <t xml:space="preserve">Wu 2019</t>
  </si>
  <si>
    <t xml:space="preserve">Wu T, et al. Complement C3 is activated in human AD brain and is required for neurodegeneration in mouse models of amyloidosis and tauopathy. Cell Rep. 2019;28:2111-2123.</t>
  </si>
  <si>
    <t xml:space="preserve">https://doi.org/10.1016/j.celrep.2019.07.060</t>
  </si>
  <si>
    <t xml:space="preserve">Matsuda S, Matsuda Y, D'Adamio L. CD74 interacts with APP and suppresses the production of Abeta. Mol Neurodegener. 2009;4:41.</t>
  </si>
  <si>
    <t xml:space="preserve">https://doi.org/10.1186/1750-1326-4-41</t>
  </si>
  <si>
    <t xml:space="preserve">Mahajan 2020</t>
  </si>
  <si>
    <t xml:space="preserve">Mahajan UV, et al. Dysregulation of multiple metabolic networks related to brain transmethylation and polyamine pathways in Alzheimer disease: a targeted metabolomic and transcriptomic study. PLoS Med. 2020;17:e1003012.</t>
  </si>
  <si>
    <t xml:space="preserve">https://doi.org/10.1371/journal.pmed.1003012</t>
  </si>
  <si>
    <t xml:space="preserve">Sandusky-Beltran 2019</t>
  </si>
  <si>
    <t xml:space="preserve">Sandusky-Beltran LA, et al. Spermidine/spermine-N1-acetyltransferase ablation impacts tauopathy-induced polyamine stress response. Alzheimers Res Ther. 2019;11:58.</t>
  </si>
  <si>
    <t xml:space="preserve">https://doi.org/10.1186/s13195-019-0507-y</t>
  </si>
  <si>
    <t xml:space="preserve">Tang X, et al. Transcriptomic and glycomic analyses highlight pathway-specific glycosylation alterations unique to Alzheimer's disease. Sci Rep. 2023;13:7816.</t>
  </si>
  <si>
    <t xml:space="preserve">https://doi.org/10.1038/s41598-023-34787-4</t>
  </si>
  <si>
    <t xml:space="preserve">Shioya M, et al. Aberrant microRNA expression in the brains of neurodegenerative diseases: miR-29a decreased in Alzheimer disease brains targets neurone navigator 3. Neuropathol Appl Neurobiol. 2010;36:320-330.</t>
  </si>
  <si>
    <t xml:space="preserve">https://doi.org/10.1111/j.1365-2990.2010.01076.x</t>
  </si>
  <si>
    <t xml:space="preserve">Bishof I, et al. RNA-binding proteins with basic-acidic dipeptide (BAD) domains self-assemble and aggregate in Alzheimer's disease. J Biol Chem. 2018;293:11047-11066.</t>
  </si>
  <si>
    <t xml:space="preserve">https://doi.org/10.1074/jbc.RA118.001747</t>
  </si>
  <si>
    <t xml:space="preserve">Wu JY, Kar A, Kuo D, Yu B, Havlioglu N. SRp54 (SFRS11), a regulator for tau exon 10 alternative splicing identified by an expression cloning strategy. Mol Cell Biol. 2006;26:6739-6747.</t>
  </si>
  <si>
    <t xml:space="preserve">https://doi.org/10.1128/MCB.00739-06</t>
  </si>
  <si>
    <t xml:space="preserve">Velez JI, et al. Targeting neuroplasticity, cardiovascular, and cognitive-associated genomic variants in familial Alzheimer's disease. Mol Neurobiol. 2019;56:3235-3243.</t>
  </si>
  <si>
    <t xml:space="preserve">https://pmc.ncbi.nlm.nih.gov/articles/PMC6476862</t>
  </si>
  <si>
    <t xml:space="preserve">Farnsworth B, Peuckert C, Zimmermann B, Jazin E, Kettunen P, Sors Emilsson L. Gene expression of quaking in sporadic Alzheimer's disease patients is both upregulated and related to expression levels of genes involved in amyloid plaque and neurofibrillary tangle formation. J Alzheimers Dis. 2016;53:209-219.</t>
  </si>
  <si>
    <t xml:space="preserve">https://doi.org/10.3233/JAD-160160</t>
  </si>
  <si>
    <t xml:space="preserve">Garcia B, et al. Upregulated expression of heparanase and heparanase 2 in the brains of Alzheimer's disease. J Alzheimers Dis. 2017;58:185-192.</t>
  </si>
  <si>
    <t xml:space="preserve">https://doi.org/10.3233/JAD-161298</t>
  </si>
  <si>
    <t xml:space="preserve">Oh YR, Park SE, Kim HK, Seo H, Shin MK. Microglial PLXDC2 modulates amyloid-beta phagocytosis and inflammatory responses. Biomol Ther (Seoul). 2025;33:952-962.</t>
  </si>
  <si>
    <t xml:space="preserve">https://doi.org/10.4062/biomolther.2025.150</t>
  </si>
  <si>
    <t xml:space="preserve">Yanaizu M, Takata Y, Kato M, Fujiwara H, Kino Y. Transcriptional activation of the TREM2 gene by ZEB2 in a zinc finger-dependent manner. Genes (Basel). 2025;16:1329.</t>
  </si>
  <si>
    <t xml:space="preserve">https://doi.org/10.3390/genes16111329</t>
  </si>
  <si>
    <t xml:space="preserve">Zhang Y, Wang J, Liu X, Liu H. Exploring the role of RALYL in Alzheimer's disease reserve by network-based approaches. Alzheimers Res Ther. 2020;12:165.</t>
  </si>
  <si>
    <t xml:space="preserve">https://doi.org/10.1186/s13195-020-00733-z</t>
  </si>
  <si>
    <t xml:space="preserve">Kim DK, et al. FGFR3 drives amyloid-beta-induced tau uptake. Exp Mol Med. 2024;56:1631-1642.</t>
  </si>
  <si>
    <t xml:space="preserve">https://doi.org/10.1038/s12276-024-01274-3</t>
  </si>
  <si>
    <t xml:space="preserve">Yang K, Li X, Lai M, Zhao W, Song W, Chen S, Li W. Ablation of ST6Gal-I downregulates BACE1 expression and suppresses production of amyloid-beta 42 plaques in Alzheimer's disease. Engineering. 2026;57:58-71.</t>
  </si>
  <si>
    <t xml:space="preserve">https://doi.org/10.1016/j.eng.2025.02.016</t>
  </si>
  <si>
    <t xml:space="preserve">Zhang 2016</t>
  </si>
  <si>
    <t xml:space="preserve">Zhang C, Lu J, Liu B, Cui Q, Wang Y. Primate-specific miR-603 is implicated in the risk and pathogenesis of Alzheimer's disease. Aging. 2016;8.</t>
  </si>
  <si>
    <t xml:space="preserve">https://doi.org/10.18632/aging.100887</t>
  </si>
  <si>
    <t xml:space="preserve">Gene 2021</t>
  </si>
  <si>
    <t xml:space="preserve">Association of MGAT4C with major neurocognitive disorder in the Mexican population. Gene. 2021;145484.</t>
  </si>
  <si>
    <t xml:space="preserve">https://doi.org/10.1016/j.gene.2021.145484</t>
  </si>
  <si>
    <t xml:space="preserve">Sun J, Zheng J, Li Y, Yan M, Li P, Ma L. LncRNA EPIC1 downregulation mediates hydrogen peroxide-induced neuronal cell injury. Aging. 2019;11:11463-11473.</t>
  </si>
  <si>
    <t xml:space="preserve">https://www.aging-us.com/article/102545</t>
  </si>
  <si>
    <t xml:space="preserve">Fagerberg 2020</t>
  </si>
  <si>
    <t xml:space="preserve">Fagerberg CR, et al. Choline transporter-like 1 deficiency causes a new type of childhood-onset neurodegeneration. Brain. 2020;143:94-111.</t>
  </si>
  <si>
    <t xml:space="preserve">https://doi.org/10.1093/brain/awz376</t>
  </si>
  <si>
    <t xml:space="preserve">Med Hypotheses 2015</t>
  </si>
  <si>
    <t xml:space="preserve">Teneurins and Alzheimer's disease: a suggestive role for a unique family of proteins. Med Hypotheses. 2015;84:402-407.</t>
  </si>
  <si>
    <t xml:space="preserve">https://doi.org/10.1016/j.mehy.2015.01.026</t>
  </si>
  <si>
    <t xml:space="preserve">Shafiq 2025</t>
  </si>
  <si>
    <t xml:space="preserve">Shafiq S, Ghahramani A, Mansour K, et al. Microglial deficiency in the ATRX chromatin remodeler elicits a viral mimicry immune response that impacts neuronal function and behavior. PLoS Biol. 2025.</t>
  </si>
  <si>
    <t xml:space="preserve">https://doi.org/10.1371/journal.pbio.3002659</t>
  </si>
  <si>
    <t xml:space="preserve">Dube 2019</t>
  </si>
  <si>
    <t xml:space="preserve">Dube U, et al. An atlas of cortical circular RNA expression in Alzheimer disease brains demonstrates clinical and pathological associations. Nat Neurosci. 2019;22:1903-1912.</t>
  </si>
  <si>
    <t xml:space="preserve">https://doi.org/10.1038/s41593-019-0501-5</t>
  </si>
  <si>
    <t xml:space="preserve">Nguyen 2024</t>
  </si>
  <si>
    <t xml:space="preserve">Nguyen DPQ, Jallow AW, Lin YF, Lin YF. Exploring the potential role of oligodendrocyte-associated PIP4K2A in Alzheimer's disease complicated with type 2 diabetes mellitus via multi-omic analysis. Int J Mol Sci. 2024;25:6640.</t>
  </si>
  <si>
    <t xml:space="preserve">https://doi.org/10.3390/ijms25126640</t>
  </si>
  <si>
    <t xml:space="preserve">Dharshini et al 2026. Molecular signatures of resilience to Alzheimer’s disease in neocortical layer 4 neuron
</t>
  </si>
  <si>
    <t xml:space="preserve">https://www.nature.com/articles/s41467-026-68920-4</t>
  </si>
  <si>
    <t xml:space="preserve">recurSieve adjusted p-value (BH)</t>
  </si>
</sst>
</file>

<file path=xl/styles.xml><?xml version="1.0" encoding="utf-8"?>
<styleSheet xmlns="http://schemas.openxmlformats.org/spreadsheetml/2006/main">
  <numFmts count="5">
    <numFmt numFmtId="164" formatCode="General"/>
    <numFmt numFmtId="165" formatCode="0.000"/>
    <numFmt numFmtId="166" formatCode="0.00E+00"/>
    <numFmt numFmtId="167" formatCode="General"/>
    <numFmt numFmtId="168" formatCode="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u val="single"/>
      <sz val="11"/>
      <color rgb="FF0563C1"/>
      <name val="Cambria"/>
      <family val="0"/>
      <charset val="1"/>
    </font>
  </fonts>
  <fills count="7">
    <fill>
      <patternFill patternType="none"/>
    </fill>
    <fill>
      <patternFill patternType="gray125"/>
    </fill>
    <fill>
      <patternFill patternType="solid">
        <fgColor rgb="FF000000"/>
        <bgColor rgb="FF003300"/>
      </patternFill>
    </fill>
    <fill>
      <patternFill patternType="solid">
        <fgColor rgb="FFF8CBAD"/>
        <bgColor rgb="FFFFE699"/>
      </patternFill>
    </fill>
    <fill>
      <patternFill patternType="solid">
        <fgColor rgb="FFFFE699"/>
        <bgColor rgb="FFF8CBAD"/>
      </patternFill>
    </fill>
    <fill>
      <patternFill patternType="solid">
        <fgColor rgb="FFDDEBF7"/>
        <bgColor rgb="FFE7E6E6"/>
      </patternFill>
    </fill>
    <fill>
      <patternFill patternType="solid">
        <fgColor rgb="FFE7E6E6"/>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0" fillId="3" borderId="1" xfId="0" applyFont="true" applyBorder="true" applyAlignment="true" applyProtection="false">
      <alignment horizontal="general" vertical="top" textRotation="0" wrapText="false" indent="0" shrinkToFit="false"/>
      <protection locked="true" hidden="false"/>
    </xf>
    <xf numFmtId="165" fontId="0" fillId="0" borderId="1" xfId="0" applyFont="fals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center" vertical="top" textRotation="0" wrapText="false" indent="0" shrinkToFit="false"/>
      <protection locked="true" hidden="false"/>
    </xf>
    <xf numFmtId="168"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false" indent="0" shrinkToFit="false"/>
      <protection locked="true" hidden="false"/>
    </xf>
    <xf numFmtId="164" fontId="0" fillId="6" borderId="1"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7E6E6"/>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hyperlink" Target="https://doi.org/10.1038/s41588-019-0358-2" TargetMode="External"/><Relationship Id="rId2" Type="http://schemas.openxmlformats.org/officeDocument/2006/relationships/hyperlink" Target="https://doi.org/10.1038/s41588-018-0311-9" TargetMode="External"/><Relationship Id="rId3" Type="http://schemas.openxmlformats.org/officeDocument/2006/relationships/hyperlink" Target="https://doi.org/10.1038/s41588-022-01024-z" TargetMode="External"/><Relationship Id="rId4" Type="http://schemas.openxmlformats.org/officeDocument/2006/relationships/hyperlink" Target="https://doi.org/10.1038/s41588-021-00921-z" TargetMode="External"/><Relationship Id="rId5" Type="http://schemas.openxmlformats.org/officeDocument/2006/relationships/hyperlink" Target="https://doi.org/10.1074/jbc.M401399200" TargetMode="External"/><Relationship Id="rId6" Type="http://schemas.openxmlformats.org/officeDocument/2006/relationships/hyperlink" Target="https://doi.org/10.1038/ncomms9836" TargetMode="External"/><Relationship Id="rId7" Type="http://schemas.openxmlformats.org/officeDocument/2006/relationships/hyperlink" Target="https://doi.org/10.1172/JCI29715" TargetMode="External"/><Relationship Id="rId8" Type="http://schemas.openxmlformats.org/officeDocument/2006/relationships/hyperlink" Target="https://doi.org/10.1073/pnas.0701055104" TargetMode="External"/><Relationship Id="rId9" Type="http://schemas.openxmlformats.org/officeDocument/2006/relationships/hyperlink" Target="https://doi.org/10.1093/jnen/62.1.42" TargetMode="External"/><Relationship Id="rId10" Type="http://schemas.openxmlformats.org/officeDocument/2006/relationships/hyperlink" Target="https://doi.org/10.1016/j.tins.2017.03.003" TargetMode="External"/><Relationship Id="rId11" Type="http://schemas.openxmlformats.org/officeDocument/2006/relationships/hyperlink" Target="https://doi.org/10.5115/acb.2011.44.2.116" TargetMode="External"/><Relationship Id="rId12" Type="http://schemas.openxmlformats.org/officeDocument/2006/relationships/hyperlink" Target="https://doi.org/10.1155/2014/209398" TargetMode="External"/><Relationship Id="rId13" Type="http://schemas.openxmlformats.org/officeDocument/2006/relationships/hyperlink" Target="https://doi.org/10.1002/alz.12868" TargetMode="External"/><Relationship Id="rId14" Type="http://schemas.openxmlformats.org/officeDocument/2006/relationships/hyperlink" Target="https://doi.org/10.1371/journal.pone.0059554" TargetMode="External"/><Relationship Id="rId15" Type="http://schemas.openxmlformats.org/officeDocument/2006/relationships/hyperlink" Target="https://doi.org/10.1038/s41598-018-24904-z" TargetMode="External"/><Relationship Id="rId16" Type="http://schemas.openxmlformats.org/officeDocument/2006/relationships/hyperlink" Target="https://doi.org/10.1074/jbc.RA117.000378" TargetMode="External"/><Relationship Id="rId17" Type="http://schemas.openxmlformats.org/officeDocument/2006/relationships/hyperlink" Target="https://doi.org/10.1186/s12864-024-10447-3" TargetMode="External"/><Relationship Id="rId18" Type="http://schemas.openxmlformats.org/officeDocument/2006/relationships/hyperlink" Target="https://pubmed.ncbi.nlm.nih.gov/11726556/" TargetMode="External"/><Relationship Id="rId19" Type="http://schemas.openxmlformats.org/officeDocument/2006/relationships/hyperlink" Target="https://doi.org/10.1002/alz70855_105818" TargetMode="External"/><Relationship Id="rId20" Type="http://schemas.openxmlformats.org/officeDocument/2006/relationships/hyperlink" Target="https://doi.org/10.1186/s13195-021-00773-z" TargetMode="External"/><Relationship Id="rId21" Type="http://schemas.openxmlformats.org/officeDocument/2006/relationships/hyperlink" Target="https://doi.org/10.1101/gad.309146.117" TargetMode="External"/><Relationship Id="rId22" Type="http://schemas.openxmlformats.org/officeDocument/2006/relationships/hyperlink" Target="https://doi.org/10.1523/ENEURO.0125-20.2020" TargetMode="External"/><Relationship Id="rId23" Type="http://schemas.openxmlformats.org/officeDocument/2006/relationships/hyperlink" Target="https://doi.org/10.1002/ana.410400512" TargetMode="External"/><Relationship Id="rId24" Type="http://schemas.openxmlformats.org/officeDocument/2006/relationships/hyperlink" Target="https://doi.org/10.1186/1750-1326-6-55" TargetMode="External"/><Relationship Id="rId25" Type="http://schemas.openxmlformats.org/officeDocument/2006/relationships/hyperlink" Target="https://doi.org/10.1042/AN20130017" TargetMode="External"/><Relationship Id="rId26" Type="http://schemas.openxmlformats.org/officeDocument/2006/relationships/hyperlink" Target="https://pubmed.ncbi.nlm.nih.gov/15207261/" TargetMode="External"/><Relationship Id="rId27" Type="http://schemas.openxmlformats.org/officeDocument/2006/relationships/hyperlink" Target="https://doi.org/10.1126/scitranslmed.abm4107" TargetMode="External"/><Relationship Id="rId28" Type="http://schemas.openxmlformats.org/officeDocument/2006/relationships/hyperlink" Target="https://doi.org/10.1016/j.jalz.2014.06.010" TargetMode="External"/><Relationship Id="rId29" Type="http://schemas.openxmlformats.org/officeDocument/2006/relationships/hyperlink" Target="https://www.sciencedirect.com/science/article/abs/pii/0896627390901445" TargetMode="External"/><Relationship Id="rId30" Type="http://schemas.openxmlformats.org/officeDocument/2006/relationships/hyperlink" Target="https://doi.org/10.1016/j.stemcr.2025.102601" TargetMode="External"/><Relationship Id="rId31" Type="http://schemas.openxmlformats.org/officeDocument/2006/relationships/hyperlink" Target="https://doi.org/10.1007/s00018-019-03074-9" TargetMode="External"/><Relationship Id="rId32" Type="http://schemas.openxmlformats.org/officeDocument/2006/relationships/hyperlink" Target="https://doi.org/10.1111/acel.14493" TargetMode="External"/><Relationship Id="rId33" Type="http://schemas.openxmlformats.org/officeDocument/2006/relationships/hyperlink" Target="https://doi.org/10.1186/s13195-021-00907-3" TargetMode="External"/><Relationship Id="rId34" Type="http://schemas.openxmlformats.org/officeDocument/2006/relationships/hyperlink" Target="https://doi.org/10.3233/JAD-2012-120472" TargetMode="External"/><Relationship Id="rId35" Type="http://schemas.openxmlformats.org/officeDocument/2006/relationships/hyperlink" Target="https://doi.org/10.1038/ng.2802" TargetMode="External"/><Relationship Id="rId36" Type="http://schemas.openxmlformats.org/officeDocument/2006/relationships/hyperlink" Target="https://doi.org/10.1038/s41467-017-00769-0" TargetMode="External"/><Relationship Id="rId37" Type="http://schemas.openxmlformats.org/officeDocument/2006/relationships/hyperlink" Target="https://doi.org/10.1126/science.aad8373" TargetMode="External"/><Relationship Id="rId38" Type="http://schemas.openxmlformats.org/officeDocument/2006/relationships/hyperlink" Target="https://doi.org/10.1126/scitranslmed.aaf6295" TargetMode="External"/><Relationship Id="rId39" Type="http://schemas.openxmlformats.org/officeDocument/2006/relationships/hyperlink" Target="https://doi.org/10.1016/j.celrep.2019.07.060" TargetMode="External"/><Relationship Id="rId40" Type="http://schemas.openxmlformats.org/officeDocument/2006/relationships/hyperlink" Target="https://doi.org/10.1186/1750-1326-4-41" TargetMode="External"/><Relationship Id="rId41" Type="http://schemas.openxmlformats.org/officeDocument/2006/relationships/hyperlink" Target="https://doi.org/10.1371/journal.pmed.1003012" TargetMode="External"/><Relationship Id="rId42" Type="http://schemas.openxmlformats.org/officeDocument/2006/relationships/hyperlink" Target="https://doi.org/10.1186/s13195-019-0507-y" TargetMode="External"/><Relationship Id="rId43" Type="http://schemas.openxmlformats.org/officeDocument/2006/relationships/hyperlink" Target="https://doi.org/10.1038/s41598-023-34787-4" TargetMode="External"/><Relationship Id="rId44" Type="http://schemas.openxmlformats.org/officeDocument/2006/relationships/hyperlink" Target="https://doi.org/10.1074/jbc.RA118.001747" TargetMode="External"/><Relationship Id="rId45" Type="http://schemas.openxmlformats.org/officeDocument/2006/relationships/hyperlink" Target="https://doi.org/10.1128/MCB.00739-06" TargetMode="External"/><Relationship Id="rId46" Type="http://schemas.openxmlformats.org/officeDocument/2006/relationships/hyperlink" Target="https://pmc.ncbi.nlm.nih.gov/articles/PMC6476862" TargetMode="External"/><Relationship Id="rId47" Type="http://schemas.openxmlformats.org/officeDocument/2006/relationships/hyperlink" Target="https://doi.org/10.3233/JAD-160160" TargetMode="External"/><Relationship Id="rId48" Type="http://schemas.openxmlformats.org/officeDocument/2006/relationships/hyperlink" Target="https://doi.org/10.3233/JAD-161298" TargetMode="External"/><Relationship Id="rId49" Type="http://schemas.openxmlformats.org/officeDocument/2006/relationships/hyperlink" Target="https://doi.org/10.4062/biomolther.2025.150" TargetMode="External"/><Relationship Id="rId50" Type="http://schemas.openxmlformats.org/officeDocument/2006/relationships/hyperlink" Target="https://doi.org/10.3390/genes16111329" TargetMode="External"/><Relationship Id="rId51" Type="http://schemas.openxmlformats.org/officeDocument/2006/relationships/hyperlink" Target="https://doi.org/10.1186/s13195-020-00733-z" TargetMode="External"/><Relationship Id="rId52" Type="http://schemas.openxmlformats.org/officeDocument/2006/relationships/hyperlink" Target="https://doi.org/10.1038/s12276-024-01274-3" TargetMode="External"/><Relationship Id="rId53" Type="http://schemas.openxmlformats.org/officeDocument/2006/relationships/hyperlink" Target="https://doi.org/10.1016/j.eng.2025.02.016" TargetMode="External"/><Relationship Id="rId54" Type="http://schemas.openxmlformats.org/officeDocument/2006/relationships/hyperlink" Target="https://doi.org/10.18632/aging.100887" TargetMode="External"/><Relationship Id="rId55" Type="http://schemas.openxmlformats.org/officeDocument/2006/relationships/hyperlink" Target="https://doi.org/10.1016/j.gene.2021.145484" TargetMode="External"/><Relationship Id="rId56" Type="http://schemas.openxmlformats.org/officeDocument/2006/relationships/hyperlink" Target="https://www.aging-us.com/article/102545" TargetMode="External"/><Relationship Id="rId57" Type="http://schemas.openxmlformats.org/officeDocument/2006/relationships/hyperlink" Target="https://doi.org/10.1093/brain/awz376" TargetMode="External"/><Relationship Id="rId58" Type="http://schemas.openxmlformats.org/officeDocument/2006/relationships/hyperlink" Target="https://doi.org/10.1016/j.mehy.2015.01.026" TargetMode="External"/><Relationship Id="rId59" Type="http://schemas.openxmlformats.org/officeDocument/2006/relationships/hyperlink" Target="https://doi.org/10.1371/journal.pbio.3002659" TargetMode="External"/><Relationship Id="rId60" Type="http://schemas.openxmlformats.org/officeDocument/2006/relationships/hyperlink" Target="https://doi.org/10.1038/s41593-019-0501-5" TargetMode="External"/><Relationship Id="rId61" Type="http://schemas.openxmlformats.org/officeDocument/2006/relationships/hyperlink" Target="https://doi.org/10.3390/ijms25126640" TargetMode="External"/><Relationship Id="rId62" Type="http://schemas.openxmlformats.org/officeDocument/2006/relationships/hyperlink" Target="https://www.nature.com/articles/s41467-026-68920-4" TargetMode="External"/><Relationship Id="rId63"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C4" activeCellId="0" sqref="C4"/>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8"/>
    <col collapsed="false" customWidth="true" hidden="false" outlineLevel="0" max="10" min="10" style="0" width="26.96"/>
    <col collapsed="false" customWidth="true" hidden="false" outlineLevel="0" max="11" min="11" style="0" width="48"/>
    <col collapsed="false" customWidth="true" hidden="false" outlineLevel="0" max="12" min="12" style="0" width="70"/>
  </cols>
  <sheetData>
    <row r="1" customFormat="false" ht="15" hidden="false" customHeight="false" outlineLevel="0" collapsed="false">
      <c r="A1" s="1" t="s">
        <v>0</v>
      </c>
      <c r="B1" s="1" t="s">
        <v>1</v>
      </c>
      <c r="C1" s="1" t="s">
        <v>2</v>
      </c>
      <c r="D1" s="1" t="s">
        <v>3</v>
      </c>
      <c r="E1" s="1" t="s">
        <v>4</v>
      </c>
      <c r="F1" s="1" t="s">
        <v>5</v>
      </c>
      <c r="G1" s="1" t="s">
        <v>6</v>
      </c>
      <c r="H1" s="1" t="s">
        <v>7</v>
      </c>
      <c r="I1" s="1" t="s">
        <v>440</v>
      </c>
      <c r="J1" s="1" t="s">
        <v>8</v>
      </c>
      <c r="K1" s="1" t="s">
        <v>9</v>
      </c>
      <c r="L1" s="1" t="s">
        <v>10</v>
      </c>
    </row>
    <row r="2" customFormat="false" ht="31.3" hidden="false" customHeight="false" outlineLevel="0" collapsed="false">
      <c r="A2" s="2" t="n">
        <v>9</v>
      </c>
      <c r="B2" s="2" t="s">
        <v>11</v>
      </c>
      <c r="C2" s="3" t="s">
        <v>12</v>
      </c>
      <c r="D2" s="4" t="n">
        <v>0.08729035</v>
      </c>
      <c r="E2" s="5" t="n">
        <v>7.70174888638256E-007</v>
      </c>
      <c r="F2" s="6" t="b">
        <f aca="false">TRUE()</f>
        <v>1</v>
      </c>
      <c r="G2" s="7" t="n">
        <v>1</v>
      </c>
      <c r="H2" s="4" t="n">
        <v>0.0198019801980198</v>
      </c>
      <c r="I2" s="4" t="n">
        <v>0.0434936350777934</v>
      </c>
      <c r="J2" s="6" t="b">
        <f aca="false">FALSE()</f>
        <v>0</v>
      </c>
      <c r="K2" s="8" t="s">
        <v>13</v>
      </c>
      <c r="L2" s="8" t="s">
        <v>14</v>
      </c>
    </row>
    <row r="3" customFormat="false" ht="46.25" hidden="false" customHeight="false" outlineLevel="0" collapsed="false">
      <c r="A3" s="2" t="n">
        <v>10</v>
      </c>
      <c r="B3" s="2" t="s">
        <v>15</v>
      </c>
      <c r="C3" s="9" t="s">
        <v>16</v>
      </c>
      <c r="D3" s="4" t="n">
        <v>0.22656935</v>
      </c>
      <c r="E3" s="5" t="n">
        <v>3.36372498369367E-071</v>
      </c>
      <c r="F3" s="6" t="b">
        <f aca="false">FALSE()</f>
        <v>0</v>
      </c>
      <c r="G3" s="7" t="n">
        <v>1</v>
      </c>
      <c r="H3" s="4" t="n">
        <v>0.0198019801980198</v>
      </c>
      <c r="I3" s="4" t="n">
        <v>0.0434936350777934</v>
      </c>
      <c r="J3" s="6" t="b">
        <f aca="false">TRUE()</f>
        <v>1</v>
      </c>
      <c r="K3" s="8" t="s">
        <v>17</v>
      </c>
      <c r="L3" s="8" t="s">
        <v>18</v>
      </c>
    </row>
    <row r="4" customFormat="false" ht="46.25" hidden="false" customHeight="false" outlineLevel="0" collapsed="false">
      <c r="A4" s="2" t="n">
        <v>1</v>
      </c>
      <c r="B4" s="2" t="s">
        <v>19</v>
      </c>
      <c r="C4" s="9" t="s">
        <v>16</v>
      </c>
      <c r="D4" s="4" t="n">
        <v>0.6729497</v>
      </c>
      <c r="E4" s="5" t="n">
        <v>1.61163136392945E-230</v>
      </c>
      <c r="F4" s="6" t="b">
        <f aca="false">FALSE()</f>
        <v>0</v>
      </c>
      <c r="G4" s="7" t="n">
        <v>1</v>
      </c>
      <c r="H4" s="4" t="n">
        <v>0.0198019801980198</v>
      </c>
      <c r="I4" s="4" t="n">
        <v>0.0434936350777934</v>
      </c>
      <c r="J4" s="6" t="b">
        <f aca="false">TRUE()</f>
        <v>1</v>
      </c>
      <c r="K4" s="8" t="s">
        <v>20</v>
      </c>
      <c r="L4" s="8" t="s">
        <v>21</v>
      </c>
    </row>
    <row r="5" customFormat="false" ht="46.25" hidden="false" customHeight="false" outlineLevel="0" collapsed="false">
      <c r="A5" s="2" t="n">
        <v>5</v>
      </c>
      <c r="B5" s="2" t="s">
        <v>22</v>
      </c>
      <c r="C5" s="9" t="s">
        <v>16</v>
      </c>
      <c r="D5" s="4" t="n">
        <v>-0.05952082</v>
      </c>
      <c r="E5" s="5" t="n">
        <v>0.0037938456457026</v>
      </c>
      <c r="F5" s="6" t="b">
        <f aca="false">TRUE()</f>
        <v>1</v>
      </c>
      <c r="G5" s="7" t="n">
        <v>0.4</v>
      </c>
      <c r="H5" s="4" t="n">
        <v>0.0198019801980198</v>
      </c>
      <c r="I5" s="4" t="n">
        <v>0.0434936350777934</v>
      </c>
      <c r="J5" s="6" t="b">
        <f aca="false">FALSE()</f>
        <v>0</v>
      </c>
      <c r="K5" s="8" t="s">
        <v>23</v>
      </c>
      <c r="L5" s="8" t="s">
        <v>24</v>
      </c>
    </row>
    <row r="6" customFormat="false" ht="46.25" hidden="false" customHeight="false" outlineLevel="0" collapsed="false">
      <c r="A6" s="2" t="n">
        <v>11</v>
      </c>
      <c r="B6" s="2" t="s">
        <v>25</v>
      </c>
      <c r="C6" s="9" t="s">
        <v>16</v>
      </c>
      <c r="D6" s="4" t="n">
        <v>0.09835521</v>
      </c>
      <c r="E6" s="5" t="n">
        <v>7.04725548883624E-012</v>
      </c>
      <c r="F6" s="6" t="b">
        <f aca="false">TRUE()</f>
        <v>1</v>
      </c>
      <c r="G6" s="7" t="n">
        <v>1</v>
      </c>
      <c r="H6" s="4" t="n">
        <v>0.0297029702970297</v>
      </c>
      <c r="I6" s="4" t="n">
        <v>0.0434936350777934</v>
      </c>
      <c r="J6" s="6" t="b">
        <f aca="false">FALSE()</f>
        <v>0</v>
      </c>
      <c r="K6" s="8" t="s">
        <v>26</v>
      </c>
      <c r="L6" s="8" t="s">
        <v>27</v>
      </c>
    </row>
    <row r="7" customFormat="false" ht="46.25" hidden="false" customHeight="false" outlineLevel="0" collapsed="false">
      <c r="A7" s="2" t="n">
        <v>15</v>
      </c>
      <c r="B7" s="2" t="s">
        <v>28</v>
      </c>
      <c r="C7" s="9" t="s">
        <v>16</v>
      </c>
      <c r="D7" s="4" t="n">
        <v>-0.04691517</v>
      </c>
      <c r="E7" s="5" t="n">
        <v>0.393388873163475</v>
      </c>
      <c r="F7" s="6" t="b">
        <f aca="false">TRUE()</f>
        <v>1</v>
      </c>
      <c r="G7" s="7" t="n">
        <v>1</v>
      </c>
      <c r="H7" s="4" t="n">
        <v>0.0297029702970297</v>
      </c>
      <c r="I7" s="4" t="n">
        <v>0.0434936350777934</v>
      </c>
      <c r="J7" s="6" t="b">
        <f aca="false">FALSE()</f>
        <v>0</v>
      </c>
      <c r="K7" s="8" t="s">
        <v>29</v>
      </c>
      <c r="L7" s="8" t="s">
        <v>30</v>
      </c>
    </row>
    <row r="8" customFormat="false" ht="46.25" hidden="false" customHeight="false" outlineLevel="0" collapsed="false">
      <c r="A8" s="2" t="n">
        <v>18</v>
      </c>
      <c r="B8" s="2" t="s">
        <v>31</v>
      </c>
      <c r="C8" s="9" t="s">
        <v>16</v>
      </c>
      <c r="D8" s="4" t="n">
        <v>-0.0344914</v>
      </c>
      <c r="E8" s="5" t="n">
        <v>0.996552360484442</v>
      </c>
      <c r="F8" s="6" t="b">
        <f aca="false">TRUE()</f>
        <v>1</v>
      </c>
      <c r="G8" s="7" t="n">
        <v>1</v>
      </c>
      <c r="H8" s="4" t="n">
        <v>0.0495049504950495</v>
      </c>
      <c r="I8" s="4" t="n">
        <v>0.0534132360604481</v>
      </c>
      <c r="J8" s="6" t="b">
        <f aca="false">FALSE()</f>
        <v>0</v>
      </c>
      <c r="K8" s="8" t="s">
        <v>32</v>
      </c>
      <c r="L8" s="8" t="s">
        <v>33</v>
      </c>
    </row>
    <row r="9" customFormat="false" ht="46.25" hidden="false" customHeight="false" outlineLevel="0" collapsed="false">
      <c r="A9" s="2" t="n">
        <v>39</v>
      </c>
      <c r="B9" s="2" t="s">
        <v>34</v>
      </c>
      <c r="C9" s="9" t="s">
        <v>16</v>
      </c>
      <c r="D9" s="4" t="n">
        <v>-0.029262813</v>
      </c>
      <c r="E9" s="5" t="n">
        <v>0.0001304924615354</v>
      </c>
      <c r="F9" s="6" t="b">
        <f aca="false">TRUE()</f>
        <v>1</v>
      </c>
      <c r="G9" s="7" t="n">
        <v>0.1</v>
      </c>
      <c r="H9" s="4" t="n">
        <v>0.0594059405940594</v>
      </c>
      <c r="I9" s="4" t="n">
        <v>0.0608910891089108</v>
      </c>
      <c r="J9" s="6" t="b">
        <f aca="false">FALSE()</f>
        <v>0</v>
      </c>
      <c r="K9" s="8" t="s">
        <v>35</v>
      </c>
      <c r="L9" s="8" t="s">
        <v>36</v>
      </c>
    </row>
    <row r="10" customFormat="false" ht="46.25" hidden="false" customHeight="false" outlineLevel="0" collapsed="false">
      <c r="A10" s="2" t="n">
        <v>2</v>
      </c>
      <c r="B10" s="2" t="s">
        <v>37</v>
      </c>
      <c r="C10" s="9" t="s">
        <v>16</v>
      </c>
      <c r="D10" s="4" t="n">
        <v>0.015608293</v>
      </c>
      <c r="E10" s="5" t="n">
        <v>3.83034424012785E-011</v>
      </c>
      <c r="F10" s="6" t="b">
        <f aca="false">TRUE()</f>
        <v>1</v>
      </c>
      <c r="G10" s="7" t="n">
        <v>1</v>
      </c>
      <c r="H10" s="4" t="n">
        <v>0.0198019801980198</v>
      </c>
      <c r="I10" s="4" t="n">
        <v>0.0434936350777934</v>
      </c>
      <c r="J10" s="6" t="b">
        <f aca="false">FALSE()</f>
        <v>0</v>
      </c>
      <c r="K10" s="8" t="s">
        <v>38</v>
      </c>
      <c r="L10" s="8" t="s">
        <v>39</v>
      </c>
    </row>
    <row r="11" customFormat="false" ht="46.25" hidden="false" customHeight="false" outlineLevel="0" collapsed="false">
      <c r="A11" s="2" t="n">
        <v>3</v>
      </c>
      <c r="B11" s="2" t="s">
        <v>40</v>
      </c>
      <c r="C11" s="10" t="s">
        <v>41</v>
      </c>
      <c r="D11" s="4" t="n">
        <v>0.036285296</v>
      </c>
      <c r="E11" s="5" t="n">
        <v>2.16956072089836E-038</v>
      </c>
      <c r="F11" s="6" t="b">
        <f aca="false">TRUE()</f>
        <v>1</v>
      </c>
      <c r="G11" s="7" t="n">
        <v>1</v>
      </c>
      <c r="H11" s="4" t="n">
        <v>0.0495049504950495</v>
      </c>
      <c r="I11" s="4" t="n">
        <v>0.0534132360604481</v>
      </c>
      <c r="J11" s="6" t="b">
        <f aca="false">TRUE()</f>
        <v>1</v>
      </c>
      <c r="K11" s="8" t="s">
        <v>42</v>
      </c>
      <c r="L11" s="8" t="s">
        <v>43</v>
      </c>
    </row>
    <row r="12" customFormat="false" ht="46.25" hidden="false" customHeight="false" outlineLevel="0" collapsed="false">
      <c r="A12" s="2" t="n">
        <v>14</v>
      </c>
      <c r="B12" s="2" t="s">
        <v>44</v>
      </c>
      <c r="C12" s="10" t="s">
        <v>41</v>
      </c>
      <c r="D12" s="4" t="n">
        <v>0.07413366</v>
      </c>
      <c r="E12" s="5" t="n">
        <v>4.55392497726627E-005</v>
      </c>
      <c r="F12" s="6" t="b">
        <f aca="false">TRUE()</f>
        <v>1</v>
      </c>
      <c r="G12" s="7" t="n">
        <v>1</v>
      </c>
      <c r="H12" s="4" t="n">
        <v>0.0099009900990099</v>
      </c>
      <c r="I12" s="4" t="n">
        <v>0.0434936350777934</v>
      </c>
      <c r="J12" s="6" t="b">
        <f aca="false">FALSE()</f>
        <v>0</v>
      </c>
      <c r="K12" s="8" t="s">
        <v>45</v>
      </c>
      <c r="L12" s="8" t="s">
        <v>46</v>
      </c>
    </row>
    <row r="13" customFormat="false" ht="46.25" hidden="false" customHeight="false" outlineLevel="0" collapsed="false">
      <c r="A13" s="2" t="n">
        <v>17</v>
      </c>
      <c r="B13" s="2" t="s">
        <v>47</v>
      </c>
      <c r="C13" s="10" t="s">
        <v>41</v>
      </c>
      <c r="D13" s="4" t="n">
        <v>0.09085624</v>
      </c>
      <c r="E13" s="5" t="n">
        <v>1.00550389898735E-007</v>
      </c>
      <c r="F13" s="6" t="b">
        <f aca="false">TRUE()</f>
        <v>1</v>
      </c>
      <c r="G13" s="7" t="n">
        <v>1</v>
      </c>
      <c r="H13" s="4" t="n">
        <v>0.0693069306930693</v>
      </c>
      <c r="I13" s="4" t="n">
        <v>0.0693069306930693</v>
      </c>
      <c r="J13" s="6" t="b">
        <f aca="false">FALSE()</f>
        <v>0</v>
      </c>
      <c r="K13" s="8" t="s">
        <v>48</v>
      </c>
      <c r="L13" s="8" t="s">
        <v>49</v>
      </c>
    </row>
    <row r="14" customFormat="false" ht="31.3" hidden="false" customHeight="false" outlineLevel="0" collapsed="false">
      <c r="A14" s="2" t="n">
        <v>4</v>
      </c>
      <c r="B14" s="2" t="s">
        <v>50</v>
      </c>
      <c r="C14" s="10" t="s">
        <v>41</v>
      </c>
      <c r="D14" s="4" t="n">
        <v>0.11111467</v>
      </c>
      <c r="E14" s="5" t="n">
        <v>3.43704973204431E-050</v>
      </c>
      <c r="F14" s="6" t="b">
        <f aca="false">FALSE()</f>
        <v>0</v>
      </c>
      <c r="G14" s="7" t="n">
        <v>1</v>
      </c>
      <c r="H14" s="4" t="n">
        <v>0.0396039603960396</v>
      </c>
      <c r="I14" s="4" t="n">
        <v>0.0463932107496464</v>
      </c>
      <c r="J14" s="6" t="b">
        <f aca="false">TRUE()</f>
        <v>1</v>
      </c>
      <c r="K14" s="8" t="s">
        <v>51</v>
      </c>
      <c r="L14" s="8" t="s">
        <v>52</v>
      </c>
    </row>
    <row r="15" customFormat="false" ht="46.25" hidden="false" customHeight="false" outlineLevel="0" collapsed="false">
      <c r="A15" s="2" t="n">
        <v>6</v>
      </c>
      <c r="B15" s="2" t="s">
        <v>53</v>
      </c>
      <c r="C15" s="10" t="s">
        <v>41</v>
      </c>
      <c r="D15" s="4" t="n">
        <v>0.19691005</v>
      </c>
      <c r="E15" s="5" t="n">
        <v>6.92225694461615E-044</v>
      </c>
      <c r="F15" s="6" t="b">
        <f aca="false">FALSE()</f>
        <v>0</v>
      </c>
      <c r="G15" s="7" t="n">
        <v>1</v>
      </c>
      <c r="H15" s="4" t="n">
        <v>0.0396039603960396</v>
      </c>
      <c r="I15" s="4" t="n">
        <v>0.0463932107496464</v>
      </c>
      <c r="J15" s="6" t="b">
        <f aca="false">FALSE()</f>
        <v>0</v>
      </c>
      <c r="K15" s="8" t="s">
        <v>54</v>
      </c>
      <c r="L15" s="8" t="s">
        <v>55</v>
      </c>
    </row>
    <row r="16" customFormat="false" ht="46.25" hidden="false" customHeight="false" outlineLevel="0" collapsed="false">
      <c r="A16" s="2" t="n">
        <v>12</v>
      </c>
      <c r="B16" s="2" t="s">
        <v>56</v>
      </c>
      <c r="C16" s="10" t="s">
        <v>41</v>
      </c>
      <c r="D16" s="4" t="n">
        <v>0.16779387</v>
      </c>
      <c r="E16" s="5" t="n">
        <v>1.96904493699184E-009</v>
      </c>
      <c r="F16" s="6" t="b">
        <f aca="false">FALSE()</f>
        <v>0</v>
      </c>
      <c r="G16" s="7" t="n">
        <v>1</v>
      </c>
      <c r="H16" s="4" t="n">
        <v>0.0495049504950495</v>
      </c>
      <c r="I16" s="4" t="n">
        <v>0.0534132360604481</v>
      </c>
      <c r="J16" s="6" t="b">
        <f aca="false">FALSE()</f>
        <v>0</v>
      </c>
      <c r="K16" s="8" t="s">
        <v>54</v>
      </c>
      <c r="L16" s="8" t="s">
        <v>55</v>
      </c>
    </row>
    <row r="17" customFormat="false" ht="31.3" hidden="false" customHeight="false" outlineLevel="0" collapsed="false">
      <c r="A17" s="2" t="n">
        <v>30</v>
      </c>
      <c r="B17" s="2" t="s">
        <v>57</v>
      </c>
      <c r="C17" s="10" t="s">
        <v>41</v>
      </c>
      <c r="D17" s="4" t="n">
        <v>0.19170265</v>
      </c>
      <c r="E17" s="5" t="n">
        <v>0.0001341224521875</v>
      </c>
      <c r="F17" s="6" t="b">
        <f aca="false">FALSE()</f>
        <v>0</v>
      </c>
      <c r="G17" s="7" t="n">
        <v>0.7</v>
      </c>
      <c r="H17" s="4" t="n">
        <v>0.0297029702970297</v>
      </c>
      <c r="I17" s="4" t="n">
        <v>0.0434936350777934</v>
      </c>
      <c r="J17" s="6" t="b">
        <f aca="false">FALSE()</f>
        <v>0</v>
      </c>
      <c r="K17" s="8" t="s">
        <v>58</v>
      </c>
      <c r="L17" s="8" t="s">
        <v>59</v>
      </c>
    </row>
    <row r="18" customFormat="false" ht="31.3" hidden="false" customHeight="false" outlineLevel="0" collapsed="false">
      <c r="A18" s="2" t="n">
        <v>32</v>
      </c>
      <c r="B18" s="2" t="s">
        <v>60</v>
      </c>
      <c r="C18" s="10" t="s">
        <v>41</v>
      </c>
      <c r="D18" s="4" t="n">
        <v>-0.12610558</v>
      </c>
      <c r="E18" s="5" t="n">
        <v>1.40329497019994E-013</v>
      </c>
      <c r="F18" s="6" t="b">
        <f aca="false">FALSE()</f>
        <v>0</v>
      </c>
      <c r="G18" s="7" t="n">
        <v>0.5</v>
      </c>
      <c r="H18" s="4" t="n">
        <v>0.0297029702970297</v>
      </c>
      <c r="I18" s="4" t="n">
        <v>0.0434936350777934</v>
      </c>
      <c r="J18" s="6" t="b">
        <f aca="false">FALSE()</f>
        <v>0</v>
      </c>
      <c r="K18" s="8" t="s">
        <v>61</v>
      </c>
      <c r="L18" s="8" t="s">
        <v>62</v>
      </c>
    </row>
    <row r="19" customFormat="false" ht="46.25" hidden="false" customHeight="false" outlineLevel="0" collapsed="false">
      <c r="A19" s="2" t="n">
        <v>36</v>
      </c>
      <c r="B19" s="2" t="s">
        <v>63</v>
      </c>
      <c r="C19" s="10" t="s">
        <v>41</v>
      </c>
      <c r="D19" s="4" t="n">
        <v>0.29034597</v>
      </c>
      <c r="E19" s="5" t="n">
        <v>2.92444674091081E-026</v>
      </c>
      <c r="F19" s="6" t="b">
        <f aca="false">FALSE()</f>
        <v>0</v>
      </c>
      <c r="G19" s="7" t="n">
        <v>0.5</v>
      </c>
      <c r="H19" s="4" t="n">
        <v>0.0297029702970297</v>
      </c>
      <c r="I19" s="4" t="n">
        <v>0.0434936350777934</v>
      </c>
      <c r="J19" s="6" t="b">
        <f aca="false">FALSE()</f>
        <v>0</v>
      </c>
      <c r="K19" s="8" t="s">
        <v>64</v>
      </c>
      <c r="L19" s="8" t="s">
        <v>65</v>
      </c>
    </row>
    <row r="20" customFormat="false" ht="31.3" hidden="false" customHeight="false" outlineLevel="0" collapsed="false">
      <c r="A20" s="2" t="n">
        <v>7</v>
      </c>
      <c r="B20" s="2" t="s">
        <v>66</v>
      </c>
      <c r="C20" s="11" t="s">
        <v>67</v>
      </c>
      <c r="D20" s="4" t="n">
        <v>-0.051300593</v>
      </c>
      <c r="E20" s="5" t="n">
        <v>0.0523978305406472</v>
      </c>
      <c r="F20" s="6" t="b">
        <f aca="false">TRUE()</f>
        <v>1</v>
      </c>
      <c r="G20" s="7" t="n">
        <v>1</v>
      </c>
      <c r="H20" s="4" t="n">
        <v>0.0297029702970297</v>
      </c>
      <c r="I20" s="4" t="n">
        <v>0.0434936350777934</v>
      </c>
      <c r="J20" s="6" t="b">
        <f aca="false">FALSE()</f>
        <v>0</v>
      </c>
      <c r="K20" s="8" t="s">
        <v>68</v>
      </c>
      <c r="L20" s="8" t="s">
        <v>69</v>
      </c>
    </row>
    <row r="21" customFormat="false" ht="31.3" hidden="false" customHeight="false" outlineLevel="0" collapsed="false">
      <c r="A21" s="2" t="n">
        <v>8</v>
      </c>
      <c r="B21" s="2" t="s">
        <v>70</v>
      </c>
      <c r="C21" s="11" t="s">
        <v>67</v>
      </c>
      <c r="D21" s="4" t="n">
        <v>0.032657485</v>
      </c>
      <c r="E21" s="5" t="n">
        <v>2.3823185962033E-007</v>
      </c>
      <c r="F21" s="6" t="b">
        <f aca="false">TRUE()</f>
        <v>1</v>
      </c>
      <c r="G21" s="7" t="n">
        <v>1</v>
      </c>
      <c r="H21" s="4" t="n">
        <v>0.0198019801980198</v>
      </c>
      <c r="I21" s="4" t="n">
        <v>0.0434936350777934</v>
      </c>
      <c r="J21" s="6" t="b">
        <f aca="false">FALSE()</f>
        <v>0</v>
      </c>
      <c r="K21" s="8" t="s">
        <v>68</v>
      </c>
      <c r="L21" s="8" t="s">
        <v>71</v>
      </c>
    </row>
    <row r="22" customFormat="false" ht="31.3" hidden="false" customHeight="false" outlineLevel="0" collapsed="false">
      <c r="A22" s="2" t="n">
        <v>13</v>
      </c>
      <c r="B22" s="2" t="s">
        <v>72</v>
      </c>
      <c r="C22" s="11" t="s">
        <v>67</v>
      </c>
      <c r="D22" s="4" t="n">
        <v>0.4575935</v>
      </c>
      <c r="E22" s="5" t="n">
        <v>2.21641167158662E-074</v>
      </c>
      <c r="F22" s="6" t="b">
        <f aca="false">FALSE()</f>
        <v>0</v>
      </c>
      <c r="G22" s="7" t="n">
        <v>1</v>
      </c>
      <c r="H22" s="4" t="n">
        <v>0.0396039603960396</v>
      </c>
      <c r="I22" s="4" t="n">
        <v>0.0463932107496464</v>
      </c>
      <c r="J22" s="6" t="b">
        <f aca="false">TRUE()</f>
        <v>1</v>
      </c>
      <c r="K22" s="8" t="s">
        <v>68</v>
      </c>
      <c r="L22" s="8" t="s">
        <v>73</v>
      </c>
    </row>
    <row r="23" customFormat="false" ht="31.3" hidden="false" customHeight="false" outlineLevel="0" collapsed="false">
      <c r="A23" s="2" t="n">
        <v>16</v>
      </c>
      <c r="B23" s="2" t="s">
        <v>74</v>
      </c>
      <c r="C23" s="11" t="s">
        <v>67</v>
      </c>
      <c r="D23" s="4" t="n">
        <v>0.07288448</v>
      </c>
      <c r="E23" s="5" t="n">
        <v>2.57101996573842E-010</v>
      </c>
      <c r="F23" s="6" t="b">
        <f aca="false">TRUE()</f>
        <v>1</v>
      </c>
      <c r="G23" s="7" t="n">
        <v>1</v>
      </c>
      <c r="H23" s="4" t="n">
        <v>0.0396039603960396</v>
      </c>
      <c r="I23" s="4" t="n">
        <v>0.0463932107496464</v>
      </c>
      <c r="J23" s="6" t="b">
        <f aca="false">FALSE()</f>
        <v>0</v>
      </c>
      <c r="K23" s="8" t="s">
        <v>68</v>
      </c>
      <c r="L23" s="8" t="s">
        <v>75</v>
      </c>
    </row>
    <row r="24" customFormat="false" ht="31.3" hidden="false" customHeight="false" outlineLevel="0" collapsed="false">
      <c r="A24" s="2" t="n">
        <v>19</v>
      </c>
      <c r="B24" s="2" t="s">
        <v>76</v>
      </c>
      <c r="C24" s="11" t="s">
        <v>67</v>
      </c>
      <c r="D24" s="4" t="n">
        <v>0.12219529</v>
      </c>
      <c r="E24" s="5" t="n">
        <v>4.95854680025825E-012</v>
      </c>
      <c r="F24" s="6" t="b">
        <f aca="false">FALSE()</f>
        <v>0</v>
      </c>
      <c r="G24" s="7" t="n">
        <v>1</v>
      </c>
      <c r="H24" s="4" t="n">
        <v>0.0099009900990099</v>
      </c>
      <c r="I24" s="4" t="n">
        <v>0.0434936350777934</v>
      </c>
      <c r="J24" s="6" t="b">
        <f aca="false">FALSE()</f>
        <v>0</v>
      </c>
      <c r="K24" s="8" t="s">
        <v>68</v>
      </c>
      <c r="L24" s="8" t="s">
        <v>77</v>
      </c>
    </row>
    <row r="25" customFormat="false" ht="31.3" hidden="false" customHeight="false" outlineLevel="0" collapsed="false">
      <c r="A25" s="2" t="n">
        <v>20</v>
      </c>
      <c r="B25" s="2" t="s">
        <v>78</v>
      </c>
      <c r="C25" s="11" t="s">
        <v>67</v>
      </c>
      <c r="D25" s="4" t="n">
        <v>-0.14253674</v>
      </c>
      <c r="E25" s="5" t="n">
        <v>1.17474439291462E-007</v>
      </c>
      <c r="F25" s="6" t="b">
        <f aca="false">FALSE()</f>
        <v>0</v>
      </c>
      <c r="G25" s="7" t="n">
        <v>1</v>
      </c>
      <c r="H25" s="4" t="n">
        <v>0.0297029702970297</v>
      </c>
      <c r="I25" s="4" t="n">
        <v>0.0434936350777934</v>
      </c>
      <c r="J25" s="6" t="b">
        <f aca="false">FALSE()</f>
        <v>0</v>
      </c>
      <c r="K25" s="8" t="s">
        <v>68</v>
      </c>
      <c r="L25" s="8" t="s">
        <v>79</v>
      </c>
    </row>
    <row r="26" customFormat="false" ht="31.3" hidden="false" customHeight="false" outlineLevel="0" collapsed="false">
      <c r="A26" s="2" t="n">
        <v>21</v>
      </c>
      <c r="B26" s="2" t="s">
        <v>80</v>
      </c>
      <c r="C26" s="11" t="s">
        <v>67</v>
      </c>
      <c r="D26" s="4" t="n">
        <v>0.13310342</v>
      </c>
      <c r="E26" s="5" t="n">
        <v>0.0050309767432661</v>
      </c>
      <c r="F26" s="6" t="b">
        <f aca="false">FALSE()</f>
        <v>0</v>
      </c>
      <c r="G26" s="7" t="n">
        <v>1</v>
      </c>
      <c r="H26" s="4" t="n">
        <v>0.0099009900990099</v>
      </c>
      <c r="I26" s="4" t="n">
        <v>0.0434936350777934</v>
      </c>
      <c r="J26" s="6" t="b">
        <f aca="false">FALSE()</f>
        <v>0</v>
      </c>
      <c r="K26" s="8" t="s">
        <v>68</v>
      </c>
      <c r="L26" s="8" t="s">
        <v>81</v>
      </c>
    </row>
    <row r="27" customFormat="false" ht="31.3" hidden="false" customHeight="false" outlineLevel="0" collapsed="false">
      <c r="A27" s="2" t="n">
        <v>22</v>
      </c>
      <c r="B27" s="2" t="s">
        <v>82</v>
      </c>
      <c r="C27" s="11" t="s">
        <v>67</v>
      </c>
      <c r="D27" s="4" t="n">
        <v>0.020089554</v>
      </c>
      <c r="E27" s="5" t="n">
        <v>0.0004319706725633</v>
      </c>
      <c r="F27" s="6" t="b">
        <f aca="false">TRUE()</f>
        <v>1</v>
      </c>
      <c r="G27" s="7" t="n">
        <v>1</v>
      </c>
      <c r="H27" s="4" t="n">
        <v>0.0297029702970297</v>
      </c>
      <c r="I27" s="4" t="n">
        <v>0.0434936350777934</v>
      </c>
      <c r="J27" s="6" t="b">
        <f aca="false">FALSE()</f>
        <v>0</v>
      </c>
      <c r="K27" s="8" t="s">
        <v>68</v>
      </c>
      <c r="L27" s="8" t="s">
        <v>83</v>
      </c>
    </row>
    <row r="28" customFormat="false" ht="31.3" hidden="false" customHeight="false" outlineLevel="0" collapsed="false">
      <c r="A28" s="2" t="n">
        <v>23</v>
      </c>
      <c r="B28" s="2" t="s">
        <v>84</v>
      </c>
      <c r="C28" s="11" t="s">
        <v>67</v>
      </c>
      <c r="D28" s="4" t="n">
        <v>0.20711255</v>
      </c>
      <c r="E28" s="5" t="n">
        <v>1.59799211093366E-024</v>
      </c>
      <c r="F28" s="6" t="b">
        <f aca="false">FALSE()</f>
        <v>0</v>
      </c>
      <c r="G28" s="7" t="n">
        <v>1</v>
      </c>
      <c r="H28" s="4" t="n">
        <v>0.0396039603960396</v>
      </c>
      <c r="I28" s="4" t="n">
        <v>0.0463932107496464</v>
      </c>
      <c r="J28" s="6" t="b">
        <f aca="false">FALSE()</f>
        <v>0</v>
      </c>
      <c r="K28" s="8" t="s">
        <v>68</v>
      </c>
      <c r="L28" s="8" t="s">
        <v>85</v>
      </c>
    </row>
    <row r="29" customFormat="false" ht="31.3" hidden="false" customHeight="false" outlineLevel="0" collapsed="false">
      <c r="A29" s="2" t="n">
        <v>24</v>
      </c>
      <c r="B29" s="2" t="s">
        <v>86</v>
      </c>
      <c r="C29" s="11" t="s">
        <v>67</v>
      </c>
      <c r="D29" s="4" t="n">
        <v>0.15670578</v>
      </c>
      <c r="E29" s="5" t="n">
        <v>0.0154747679463562</v>
      </c>
      <c r="F29" s="6" t="b">
        <f aca="false">FALSE()</f>
        <v>0</v>
      </c>
      <c r="G29" s="7" t="n">
        <v>1</v>
      </c>
      <c r="H29" s="4" t="n">
        <v>0.0297029702970297</v>
      </c>
      <c r="I29" s="4" t="n">
        <v>0.0434936350777934</v>
      </c>
      <c r="J29" s="6" t="b">
        <f aca="false">FALSE()</f>
        <v>0</v>
      </c>
      <c r="K29" s="8" t="s">
        <v>87</v>
      </c>
      <c r="L29" s="8" t="s">
        <v>88</v>
      </c>
    </row>
    <row r="30" customFormat="false" ht="31.3" hidden="false" customHeight="false" outlineLevel="0" collapsed="false">
      <c r="A30" s="2" t="n">
        <v>25</v>
      </c>
      <c r="B30" s="2" t="s">
        <v>89</v>
      </c>
      <c r="C30" s="11" t="s">
        <v>67</v>
      </c>
      <c r="D30" s="4" t="n">
        <v>0.27938163</v>
      </c>
      <c r="E30" s="5" t="n">
        <v>1.00748278563698E-024</v>
      </c>
      <c r="F30" s="6" t="b">
        <f aca="false">FALSE()</f>
        <v>0</v>
      </c>
      <c r="G30" s="7" t="n">
        <v>1</v>
      </c>
      <c r="H30" s="4" t="n">
        <v>0.0297029702970297</v>
      </c>
      <c r="I30" s="4" t="n">
        <v>0.0434936350777934</v>
      </c>
      <c r="J30" s="6" t="b">
        <f aca="false">FALSE()</f>
        <v>0</v>
      </c>
      <c r="K30" s="8" t="s">
        <v>68</v>
      </c>
      <c r="L30" s="8" t="s">
        <v>90</v>
      </c>
    </row>
    <row r="31" customFormat="false" ht="31.3" hidden="false" customHeight="false" outlineLevel="0" collapsed="false">
      <c r="A31" s="2" t="n">
        <v>26</v>
      </c>
      <c r="B31" s="2" t="s">
        <v>91</v>
      </c>
      <c r="C31" s="11" t="s">
        <v>67</v>
      </c>
      <c r="D31" s="4" t="n">
        <v>-0.20885615</v>
      </c>
      <c r="E31" s="5" t="n">
        <v>3.20187485302032E-033</v>
      </c>
      <c r="F31" s="6" t="b">
        <f aca="false">FALSE()</f>
        <v>0</v>
      </c>
      <c r="G31" s="7" t="n">
        <v>1</v>
      </c>
      <c r="H31" s="4" t="n">
        <v>0.0297029702970297</v>
      </c>
      <c r="I31" s="4" t="n">
        <v>0.0434936350777934</v>
      </c>
      <c r="J31" s="6" t="b">
        <f aca="false">TRUE()</f>
        <v>1</v>
      </c>
      <c r="K31" s="8" t="s">
        <v>92</v>
      </c>
      <c r="L31" s="8" t="s">
        <v>93</v>
      </c>
    </row>
    <row r="32" customFormat="false" ht="31.3" hidden="false" customHeight="false" outlineLevel="0" collapsed="false">
      <c r="A32" s="2" t="n">
        <v>27</v>
      </c>
      <c r="B32" s="2" t="s">
        <v>94</v>
      </c>
      <c r="C32" s="11" t="s">
        <v>67</v>
      </c>
      <c r="D32" s="4" t="n">
        <v>0.2428678</v>
      </c>
      <c r="E32" s="5" t="n">
        <v>7.08335125196657E-018</v>
      </c>
      <c r="F32" s="6" t="b">
        <f aca="false">FALSE()</f>
        <v>0</v>
      </c>
      <c r="G32" s="7" t="n">
        <v>0.9</v>
      </c>
      <c r="H32" s="4" t="n">
        <v>0.0198019801980198</v>
      </c>
      <c r="I32" s="4" t="n">
        <v>0.0434936350777934</v>
      </c>
      <c r="J32" s="6" t="b">
        <f aca="false">FALSE()</f>
        <v>0</v>
      </c>
      <c r="K32" s="8" t="s">
        <v>68</v>
      </c>
      <c r="L32" s="8" t="s">
        <v>95</v>
      </c>
    </row>
    <row r="33" customFormat="false" ht="31.3" hidden="false" customHeight="false" outlineLevel="0" collapsed="false">
      <c r="A33" s="2" t="n">
        <v>28</v>
      </c>
      <c r="B33" s="2" t="s">
        <v>96</v>
      </c>
      <c r="C33" s="11" t="s">
        <v>67</v>
      </c>
      <c r="D33" s="4" t="n">
        <v>0.053968597</v>
      </c>
      <c r="E33" s="5" t="n">
        <v>0.0033080792048531</v>
      </c>
      <c r="F33" s="6" t="b">
        <f aca="false">TRUE()</f>
        <v>1</v>
      </c>
      <c r="G33" s="7" t="n">
        <v>0.8</v>
      </c>
      <c r="H33" s="4" t="n">
        <v>0.0198019801980198</v>
      </c>
      <c r="I33" s="4" t="n">
        <v>0.0434936350777934</v>
      </c>
      <c r="J33" s="6" t="b">
        <f aca="false">FALSE()</f>
        <v>0</v>
      </c>
      <c r="K33" s="8" t="s">
        <v>68</v>
      </c>
      <c r="L33" s="8" t="s">
        <v>97</v>
      </c>
    </row>
    <row r="34" customFormat="false" ht="31.3" hidden="false" customHeight="false" outlineLevel="0" collapsed="false">
      <c r="A34" s="2" t="n">
        <v>29</v>
      </c>
      <c r="B34" s="2" t="s">
        <v>98</v>
      </c>
      <c r="C34" s="11" t="s">
        <v>67</v>
      </c>
      <c r="D34" s="4" t="n">
        <v>0.00021104331</v>
      </c>
      <c r="E34" s="5" t="n">
        <v>0.0002680158544316</v>
      </c>
      <c r="F34" s="6" t="b">
        <f aca="false">TRUE()</f>
        <v>1</v>
      </c>
      <c r="G34" s="7" t="n">
        <v>1</v>
      </c>
      <c r="H34" s="4" t="n">
        <v>0.0594059405940594</v>
      </c>
      <c r="I34" s="4" t="n">
        <v>0.0608910891089108</v>
      </c>
      <c r="J34" s="6" t="b">
        <f aca="false">FALSE()</f>
        <v>0</v>
      </c>
      <c r="K34" s="8" t="s">
        <v>68</v>
      </c>
      <c r="L34" s="8" t="s">
        <v>99</v>
      </c>
    </row>
    <row r="35" customFormat="false" ht="31.3" hidden="false" customHeight="false" outlineLevel="0" collapsed="false">
      <c r="A35" s="2" t="n">
        <v>31</v>
      </c>
      <c r="B35" s="2" t="s">
        <v>100</v>
      </c>
      <c r="C35" s="11" t="s">
        <v>67</v>
      </c>
      <c r="D35" s="4" t="n">
        <v>0.06093571</v>
      </c>
      <c r="E35" s="5" t="n">
        <v>0.439805775024812</v>
      </c>
      <c r="F35" s="6" t="b">
        <f aca="false">TRUE()</f>
        <v>1</v>
      </c>
      <c r="G35" s="7" t="n">
        <v>1</v>
      </c>
      <c r="H35" s="4" t="n">
        <v>0.0198019801980198</v>
      </c>
      <c r="I35" s="4" t="n">
        <v>0.0434936350777934</v>
      </c>
      <c r="J35" s="6" t="b">
        <f aca="false">FALSE()</f>
        <v>0</v>
      </c>
      <c r="K35" s="8" t="s">
        <v>68</v>
      </c>
      <c r="L35" s="8" t="s">
        <v>101</v>
      </c>
    </row>
    <row r="36" customFormat="false" ht="31.3" hidden="false" customHeight="false" outlineLevel="0" collapsed="false">
      <c r="A36" s="2" t="n">
        <v>33</v>
      </c>
      <c r="B36" s="2" t="s">
        <v>102</v>
      </c>
      <c r="C36" s="11" t="s">
        <v>67</v>
      </c>
      <c r="D36" s="4" t="n">
        <v>0.040693924</v>
      </c>
      <c r="E36" s="5" t="n">
        <v>0.547884119556114</v>
      </c>
      <c r="F36" s="6" t="b">
        <f aca="false">TRUE()</f>
        <v>1</v>
      </c>
      <c r="G36" s="7" t="n">
        <v>0.5</v>
      </c>
      <c r="H36" s="4" t="n">
        <v>0.0297029702970297</v>
      </c>
      <c r="I36" s="4" t="n">
        <v>0.0434936350777934</v>
      </c>
      <c r="J36" s="6" t="b">
        <f aca="false">FALSE()</f>
        <v>0</v>
      </c>
      <c r="K36" s="8" t="s">
        <v>68</v>
      </c>
      <c r="L36" s="8" t="s">
        <v>103</v>
      </c>
    </row>
    <row r="37" customFormat="false" ht="46.25" hidden="false" customHeight="false" outlineLevel="0" collapsed="false">
      <c r="A37" s="2" t="n">
        <v>34</v>
      </c>
      <c r="B37" s="2" t="s">
        <v>104</v>
      </c>
      <c r="C37" s="11" t="s">
        <v>67</v>
      </c>
      <c r="D37" s="4" t="n">
        <v>0.12422563</v>
      </c>
      <c r="E37" s="5" t="n">
        <v>0.0306440062356844</v>
      </c>
      <c r="F37" s="6" t="b">
        <f aca="false">FALSE()</f>
        <v>0</v>
      </c>
      <c r="G37" s="7" t="n">
        <v>0.8</v>
      </c>
      <c r="H37" s="4" t="n">
        <v>0.0396039603960396</v>
      </c>
      <c r="I37" s="4" t="n">
        <v>0.0463932107496464</v>
      </c>
      <c r="J37" s="6" t="b">
        <f aca="false">FALSE()</f>
        <v>0</v>
      </c>
      <c r="K37" s="8" t="s">
        <v>105</v>
      </c>
      <c r="L37" s="8" t="s">
        <v>106</v>
      </c>
    </row>
    <row r="38" customFormat="false" ht="31.3" hidden="false" customHeight="false" outlineLevel="0" collapsed="false">
      <c r="A38" s="2" t="n">
        <v>35</v>
      </c>
      <c r="B38" s="2" t="s">
        <v>107</v>
      </c>
      <c r="C38" s="11" t="s">
        <v>67</v>
      </c>
      <c r="D38" s="4" t="n">
        <v>0.31071475</v>
      </c>
      <c r="E38" s="5" t="n">
        <v>1.0859846143861E-032</v>
      </c>
      <c r="F38" s="6" t="b">
        <f aca="false">FALSE()</f>
        <v>0</v>
      </c>
      <c r="G38" s="7" t="n">
        <v>0.9</v>
      </c>
      <c r="H38" s="4" t="n">
        <v>0.0198019801980198</v>
      </c>
      <c r="I38" s="4" t="n">
        <v>0.0434936350777934</v>
      </c>
      <c r="J38" s="6" t="b">
        <f aca="false">TRUE()</f>
        <v>1</v>
      </c>
      <c r="K38" s="8" t="s">
        <v>68</v>
      </c>
      <c r="L38" s="8" t="s">
        <v>108</v>
      </c>
    </row>
    <row r="39" customFormat="false" ht="31.3" hidden="false" customHeight="false" outlineLevel="0" collapsed="false">
      <c r="A39" s="2" t="n">
        <v>37</v>
      </c>
      <c r="B39" s="2" t="s">
        <v>109</v>
      </c>
      <c r="C39" s="11" t="s">
        <v>67</v>
      </c>
      <c r="D39" s="4" t="n">
        <v>-0.108737394</v>
      </c>
      <c r="E39" s="5" t="n">
        <v>1.56841233507517E-012</v>
      </c>
      <c r="F39" s="6" t="b">
        <f aca="false">FALSE()</f>
        <v>0</v>
      </c>
      <c r="G39" s="7" t="n">
        <v>0.7</v>
      </c>
      <c r="H39" s="4" t="n">
        <v>0.0198019801980198</v>
      </c>
      <c r="I39" s="4" t="n">
        <v>0.0434936350777934</v>
      </c>
      <c r="J39" s="6" t="b">
        <f aca="false">FALSE()</f>
        <v>0</v>
      </c>
      <c r="K39" s="8" t="s">
        <v>68</v>
      </c>
      <c r="L39" s="8" t="s">
        <v>110</v>
      </c>
    </row>
    <row r="40" customFormat="false" ht="31.3" hidden="false" customHeight="false" outlineLevel="0" collapsed="false">
      <c r="A40" s="2" t="n">
        <v>38</v>
      </c>
      <c r="B40" s="2" t="s">
        <v>111</v>
      </c>
      <c r="C40" s="11" t="s">
        <v>67</v>
      </c>
      <c r="D40" s="4" t="n">
        <v>0.6634869</v>
      </c>
      <c r="E40" s="5" t="n">
        <v>5.45469189736467E-113</v>
      </c>
      <c r="F40" s="6" t="b">
        <f aca="false">FALSE()</f>
        <v>0</v>
      </c>
      <c r="G40" s="7" t="n">
        <v>0.4</v>
      </c>
      <c r="H40" s="4" t="n">
        <v>0.0297029702970297</v>
      </c>
      <c r="I40" s="4" t="n">
        <v>0.0434936350777934</v>
      </c>
      <c r="J40" s="6" t="b">
        <f aca="false">TRUE()</f>
        <v>1</v>
      </c>
      <c r="K40" s="8" t="s">
        <v>68</v>
      </c>
      <c r="L40" s="8" t="s">
        <v>112</v>
      </c>
    </row>
    <row r="41" customFormat="false" ht="46.25" hidden="false" customHeight="false" outlineLevel="0" collapsed="false">
      <c r="A41" s="2" t="n">
        <v>40</v>
      </c>
      <c r="B41" s="2" t="s">
        <v>113</v>
      </c>
      <c r="C41" s="11" t="s">
        <v>67</v>
      </c>
      <c r="D41" s="4" t="n">
        <v>0.2727138</v>
      </c>
      <c r="E41" s="5" t="n">
        <v>7.34739456580919E-007</v>
      </c>
      <c r="F41" s="6" t="b">
        <f aca="false">FALSE()</f>
        <v>0</v>
      </c>
      <c r="G41" s="7" t="n">
        <v>0.1</v>
      </c>
      <c r="H41" s="4" t="n">
        <v>0.0396039603960396</v>
      </c>
      <c r="I41" s="4" t="n">
        <v>0.0463932107496464</v>
      </c>
      <c r="J41" s="6" t="b">
        <f aca="false">FALSE()</f>
        <v>0</v>
      </c>
      <c r="K41" s="8" t="s">
        <v>114</v>
      </c>
      <c r="L41" s="8" t="s">
        <v>115</v>
      </c>
    </row>
    <row r="42" customFormat="false" ht="31.3" hidden="false" customHeight="false" outlineLevel="0" collapsed="false">
      <c r="A42" s="2" t="n">
        <v>41</v>
      </c>
      <c r="B42" s="2" t="s">
        <v>116</v>
      </c>
      <c r="C42" s="11" t="s">
        <v>67</v>
      </c>
      <c r="D42" s="4" t="n">
        <v>0.13132645</v>
      </c>
      <c r="E42" s="5" t="n">
        <v>0.364307931349682</v>
      </c>
      <c r="F42" s="6" t="b">
        <f aca="false">TRUE()</f>
        <v>1</v>
      </c>
      <c r="G42" s="7" t="n">
        <v>0.1</v>
      </c>
      <c r="H42" s="4" t="n">
        <v>0.0297029702970297</v>
      </c>
      <c r="I42" s="4" t="n">
        <v>0.0434936350777934</v>
      </c>
      <c r="J42" s="6" t="b">
        <f aca="false">FALSE()</f>
        <v>0</v>
      </c>
      <c r="K42" s="8" t="s">
        <v>68</v>
      </c>
      <c r="L42" s="8" t="s">
        <v>117</v>
      </c>
    </row>
    <row r="1048576" customFormat="false" ht="12.8" hidden="false" customHeight="false" outlineLevel="0" collapsed="false"/>
  </sheetData>
  <autoFilter ref="A1:L4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7" activeCellId="0" sqref="J7"/>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8"/>
    <col collapsed="false" customWidth="true" hidden="false" outlineLevel="0" max="10" min="10" style="0" width="20"/>
    <col collapsed="false" customWidth="true" hidden="false" outlineLevel="0" max="11" min="11" style="0" width="48"/>
    <col collapsed="false" customWidth="true" hidden="false" outlineLevel="0" max="12" min="12" style="0" width="70"/>
  </cols>
  <sheetData>
    <row r="1" customFormat="false" ht="15" hidden="false" customHeight="false" outlineLevel="0" collapsed="false">
      <c r="A1" s="1" t="s">
        <v>0</v>
      </c>
      <c r="B1" s="1" t="s">
        <v>1</v>
      </c>
      <c r="C1" s="1" t="s">
        <v>2</v>
      </c>
      <c r="D1" s="1" t="s">
        <v>3</v>
      </c>
      <c r="E1" s="1" t="s">
        <v>4</v>
      </c>
      <c r="F1" s="1" t="s">
        <v>5</v>
      </c>
      <c r="G1" s="1" t="s">
        <v>6</v>
      </c>
      <c r="H1" s="1" t="s">
        <v>7</v>
      </c>
      <c r="I1" s="1" t="s">
        <v>440</v>
      </c>
      <c r="J1" s="1" t="s">
        <v>8</v>
      </c>
      <c r="K1" s="1" t="s">
        <v>9</v>
      </c>
      <c r="L1" s="1" t="s">
        <v>10</v>
      </c>
    </row>
    <row r="2" customFormat="false" ht="46.25" hidden="false" customHeight="false" outlineLevel="0" collapsed="false">
      <c r="A2" s="2" t="n">
        <v>1</v>
      </c>
      <c r="B2" s="2" t="s">
        <v>19</v>
      </c>
      <c r="C2" s="9" t="s">
        <v>16</v>
      </c>
      <c r="D2" s="4" t="n">
        <v>0.7343377</v>
      </c>
      <c r="E2" s="5" t="n">
        <v>1.76235424377456E-209</v>
      </c>
      <c r="F2" s="6" t="b">
        <f aca="false">FALSE()</f>
        <v>0</v>
      </c>
      <c r="G2" s="7" t="n">
        <v>0.6</v>
      </c>
      <c r="H2" s="4" t="n">
        <v>0.0099009900990099</v>
      </c>
      <c r="I2" s="4" t="n">
        <v>0.0227722772277227</v>
      </c>
      <c r="J2" s="6" t="b">
        <f aca="false">TRUE()</f>
        <v>1</v>
      </c>
      <c r="K2" s="8" t="s">
        <v>20</v>
      </c>
      <c r="L2" s="8" t="s">
        <v>21</v>
      </c>
    </row>
    <row r="3" customFormat="false" ht="31.3" hidden="false" customHeight="false" outlineLevel="0" collapsed="false">
      <c r="A3" s="2" t="n">
        <v>4</v>
      </c>
      <c r="B3" s="2" t="s">
        <v>118</v>
      </c>
      <c r="C3" s="9" t="s">
        <v>16</v>
      </c>
      <c r="D3" s="4" t="n">
        <v>0.22427803</v>
      </c>
      <c r="E3" s="5" t="n">
        <v>4.32958991770701E-104</v>
      </c>
      <c r="F3" s="6" t="b">
        <f aca="false">FALSE()</f>
        <v>0</v>
      </c>
      <c r="G3" s="7" t="n">
        <v>0.9</v>
      </c>
      <c r="H3" s="4" t="n">
        <v>0.0099009900990099</v>
      </c>
      <c r="I3" s="4" t="n">
        <v>0.0227722772277227</v>
      </c>
      <c r="J3" s="6" t="b">
        <f aca="false">TRUE()</f>
        <v>1</v>
      </c>
      <c r="K3" s="8" t="s">
        <v>119</v>
      </c>
      <c r="L3" s="8" t="s">
        <v>120</v>
      </c>
    </row>
    <row r="4" customFormat="false" ht="46.25" hidden="false" customHeight="false" outlineLevel="0" collapsed="false">
      <c r="A4" s="2" t="n">
        <v>12</v>
      </c>
      <c r="B4" s="2" t="s">
        <v>121</v>
      </c>
      <c r="C4" s="9" t="s">
        <v>16</v>
      </c>
      <c r="D4" s="4" t="n">
        <v>0.12968345</v>
      </c>
      <c r="E4" s="5" t="n">
        <v>1.54304306306185E-007</v>
      </c>
      <c r="F4" s="6" t="b">
        <f aca="false">FALSE()</f>
        <v>0</v>
      </c>
      <c r="G4" s="7" t="n">
        <v>0.5</v>
      </c>
      <c r="H4" s="4" t="n">
        <v>0.0297029702970297</v>
      </c>
      <c r="I4" s="4" t="n">
        <v>0.0325318246110325</v>
      </c>
      <c r="J4" s="6" t="b">
        <f aca="false">FALSE()</f>
        <v>0</v>
      </c>
      <c r="K4" s="8" t="s">
        <v>122</v>
      </c>
      <c r="L4" s="8" t="s">
        <v>123</v>
      </c>
    </row>
    <row r="5" customFormat="false" ht="31.3" hidden="false" customHeight="false" outlineLevel="0" collapsed="false">
      <c r="A5" s="2" t="n">
        <v>13</v>
      </c>
      <c r="B5" s="2" t="s">
        <v>124</v>
      </c>
      <c r="C5" s="9" t="s">
        <v>16</v>
      </c>
      <c r="D5" s="4" t="n">
        <v>-0.0077264565</v>
      </c>
      <c r="E5" s="5" t="n">
        <v>2.29251624894144E-005</v>
      </c>
      <c r="F5" s="6" t="b">
        <f aca="false">TRUE()</f>
        <v>1</v>
      </c>
      <c r="G5" s="7" t="n">
        <v>0.8</v>
      </c>
      <c r="H5" s="4" t="n">
        <v>0.0396039603960396</v>
      </c>
      <c r="I5" s="4" t="n">
        <v>0.0414041404140414</v>
      </c>
      <c r="J5" s="6" t="b">
        <f aca="false">FALSE()</f>
        <v>0</v>
      </c>
      <c r="K5" s="8" t="s">
        <v>125</v>
      </c>
      <c r="L5" s="8" t="s">
        <v>126</v>
      </c>
    </row>
    <row r="6" customFormat="false" ht="46.25" hidden="false" customHeight="false" outlineLevel="0" collapsed="false">
      <c r="A6" s="2" t="n">
        <v>14</v>
      </c>
      <c r="B6" s="2" t="s">
        <v>28</v>
      </c>
      <c r="C6" s="9" t="s">
        <v>16</v>
      </c>
      <c r="D6" s="4" t="n">
        <v>-0.023014318</v>
      </c>
      <c r="E6" s="5" t="n">
        <v>0.000630871792779</v>
      </c>
      <c r="F6" s="6" t="b">
        <f aca="false">TRUE()</f>
        <v>1</v>
      </c>
      <c r="G6" s="7" t="n">
        <v>0.9</v>
      </c>
      <c r="H6" s="4" t="n">
        <v>0.0198019801980198</v>
      </c>
      <c r="I6" s="4" t="n">
        <v>0.0267909143855562</v>
      </c>
      <c r="J6" s="6" t="b">
        <f aca="false">FALSE()</f>
        <v>0</v>
      </c>
      <c r="K6" s="8" t="s">
        <v>29</v>
      </c>
      <c r="L6" s="8" t="s">
        <v>30</v>
      </c>
    </row>
    <row r="7" customFormat="false" ht="46.25" hidden="false" customHeight="false" outlineLevel="0" collapsed="false">
      <c r="A7" s="2" t="n">
        <v>2</v>
      </c>
      <c r="B7" s="2" t="s">
        <v>127</v>
      </c>
      <c r="C7" s="9" t="s">
        <v>16</v>
      </c>
      <c r="D7" s="4" t="n">
        <v>0.050843682</v>
      </c>
      <c r="E7" s="5" t="n">
        <v>1.27614416883386E-024</v>
      </c>
      <c r="F7" s="6" t="b">
        <f aca="false">TRUE()</f>
        <v>1</v>
      </c>
      <c r="G7" s="7" t="n">
        <v>0.9</v>
      </c>
      <c r="H7" s="4" t="n">
        <v>0.0099009900990099</v>
      </c>
      <c r="I7" s="4" t="n">
        <v>0.0227722772277227</v>
      </c>
      <c r="J7" s="6" t="b">
        <f aca="false">FALSE()</f>
        <v>0</v>
      </c>
      <c r="K7" s="8" t="s">
        <v>128</v>
      </c>
      <c r="L7" s="8" t="s">
        <v>129</v>
      </c>
    </row>
    <row r="8" customFormat="false" ht="46.25" hidden="false" customHeight="false" outlineLevel="0" collapsed="false">
      <c r="A8" s="2" t="n">
        <v>3</v>
      </c>
      <c r="B8" s="2" t="s">
        <v>40</v>
      </c>
      <c r="C8" s="10" t="s">
        <v>41</v>
      </c>
      <c r="D8" s="4" t="n">
        <v>0.15186132</v>
      </c>
      <c r="E8" s="5" t="n">
        <v>4.09643081923369E-107</v>
      </c>
      <c r="F8" s="6" t="b">
        <f aca="false">FALSE()</f>
        <v>0</v>
      </c>
      <c r="G8" s="7" t="n">
        <v>1</v>
      </c>
      <c r="H8" s="4" t="n">
        <v>0.0297029702970297</v>
      </c>
      <c r="I8" s="4" t="n">
        <v>0.0325318246110325</v>
      </c>
      <c r="J8" s="6" t="b">
        <f aca="false">FALSE()</f>
        <v>0</v>
      </c>
      <c r="K8" s="8" t="s">
        <v>42</v>
      </c>
      <c r="L8" s="8" t="s">
        <v>43</v>
      </c>
    </row>
    <row r="9" customFormat="false" ht="46.25" hidden="false" customHeight="false" outlineLevel="0" collapsed="false">
      <c r="A9" s="2" t="n">
        <v>5</v>
      </c>
      <c r="B9" s="2" t="s">
        <v>53</v>
      </c>
      <c r="C9" s="10" t="s">
        <v>41</v>
      </c>
      <c r="D9" s="4" t="n">
        <v>0.12897867</v>
      </c>
      <c r="E9" s="5" t="n">
        <v>4.24057764158362E-019</v>
      </c>
      <c r="F9" s="6" t="b">
        <f aca="false">FALSE()</f>
        <v>0</v>
      </c>
      <c r="G9" s="7" t="n">
        <v>0.9</v>
      </c>
      <c r="H9" s="4" t="n">
        <v>0.0198019801980198</v>
      </c>
      <c r="I9" s="4" t="n">
        <v>0.0267909143855562</v>
      </c>
      <c r="J9" s="6" t="b">
        <f aca="false">FALSE()</f>
        <v>0</v>
      </c>
      <c r="K9" s="8" t="s">
        <v>54</v>
      </c>
      <c r="L9" s="8" t="s">
        <v>55</v>
      </c>
    </row>
    <row r="10" customFormat="false" ht="46.25" hidden="false" customHeight="false" outlineLevel="0" collapsed="false">
      <c r="A10" s="2" t="n">
        <v>9</v>
      </c>
      <c r="B10" s="2" t="s">
        <v>56</v>
      </c>
      <c r="C10" s="10" t="s">
        <v>41</v>
      </c>
      <c r="D10" s="4" t="n">
        <v>0.16780527</v>
      </c>
      <c r="E10" s="5" t="n">
        <v>6.66473660486524E-011</v>
      </c>
      <c r="F10" s="6" t="b">
        <f aca="false">FALSE()</f>
        <v>0</v>
      </c>
      <c r="G10" s="7" t="n">
        <v>0.9</v>
      </c>
      <c r="H10" s="4" t="n">
        <v>0.0099009900990099</v>
      </c>
      <c r="I10" s="4" t="n">
        <v>0.0227722772277227</v>
      </c>
      <c r="J10" s="6" t="b">
        <f aca="false">FALSE()</f>
        <v>0</v>
      </c>
      <c r="K10" s="8" t="s">
        <v>54</v>
      </c>
      <c r="L10" s="8" t="s">
        <v>55</v>
      </c>
    </row>
    <row r="11" customFormat="false" ht="31.3" hidden="false" customHeight="false" outlineLevel="0" collapsed="false">
      <c r="A11" s="2" t="n">
        <v>10</v>
      </c>
      <c r="B11" s="2" t="s">
        <v>130</v>
      </c>
      <c r="C11" s="10" t="s">
        <v>41</v>
      </c>
      <c r="D11" s="4" t="n">
        <v>0.053360738</v>
      </c>
      <c r="E11" s="5" t="n">
        <v>0.0001186740407618</v>
      </c>
      <c r="F11" s="6" t="b">
        <f aca="false">TRUE()</f>
        <v>1</v>
      </c>
      <c r="G11" s="7" t="n">
        <v>0.9</v>
      </c>
      <c r="H11" s="4" t="n">
        <v>0.0495049504950495</v>
      </c>
      <c r="I11" s="4" t="n">
        <v>0.0495049504950495</v>
      </c>
      <c r="J11" s="6" t="b">
        <f aca="false">FALSE()</f>
        <v>0</v>
      </c>
      <c r="K11" s="8" t="s">
        <v>131</v>
      </c>
      <c r="L11" s="8" t="s">
        <v>132</v>
      </c>
    </row>
    <row r="12" customFormat="false" ht="31.3" hidden="false" customHeight="false" outlineLevel="0" collapsed="false">
      <c r="A12" s="2" t="n">
        <v>6</v>
      </c>
      <c r="B12" s="2" t="s">
        <v>133</v>
      </c>
      <c r="C12" s="11" t="s">
        <v>67</v>
      </c>
      <c r="D12" s="4" t="n">
        <v>0.1948824</v>
      </c>
      <c r="E12" s="5" t="n">
        <v>5.04455684058244E-110</v>
      </c>
      <c r="F12" s="6" t="b">
        <f aca="false">FALSE()</f>
        <v>0</v>
      </c>
      <c r="G12" s="7" t="n">
        <v>0.9</v>
      </c>
      <c r="H12" s="4" t="n">
        <v>0.0297029702970297</v>
      </c>
      <c r="I12" s="4" t="n">
        <v>0.0325318246110325</v>
      </c>
      <c r="J12" s="6" t="b">
        <f aca="false">TRUE()</f>
        <v>1</v>
      </c>
      <c r="K12" s="8" t="s">
        <v>68</v>
      </c>
      <c r="L12" s="8" t="s">
        <v>134</v>
      </c>
    </row>
    <row r="13" customFormat="false" ht="31.3" hidden="false" customHeight="false" outlineLevel="0" collapsed="false">
      <c r="A13" s="2" t="n">
        <v>7</v>
      </c>
      <c r="B13" s="2" t="s">
        <v>66</v>
      </c>
      <c r="C13" s="11" t="s">
        <v>67</v>
      </c>
      <c r="D13" s="4" t="n">
        <v>0.019945797</v>
      </c>
      <c r="E13" s="5" t="n">
        <v>0.0091587133204489</v>
      </c>
      <c r="F13" s="6" t="b">
        <f aca="false">TRUE()</f>
        <v>1</v>
      </c>
      <c r="G13" s="7" t="n">
        <v>0.9</v>
      </c>
      <c r="H13" s="4" t="n">
        <v>0.0099009900990099</v>
      </c>
      <c r="I13" s="4" t="n">
        <v>0.0227722772277227</v>
      </c>
      <c r="J13" s="6" t="b">
        <f aca="false">FALSE()</f>
        <v>0</v>
      </c>
      <c r="K13" s="8" t="s">
        <v>68</v>
      </c>
      <c r="L13" s="8" t="s">
        <v>69</v>
      </c>
    </row>
    <row r="14" customFormat="false" ht="31.3" hidden="false" customHeight="false" outlineLevel="0" collapsed="false">
      <c r="A14" s="2" t="n">
        <v>8</v>
      </c>
      <c r="B14" s="2" t="s">
        <v>135</v>
      </c>
      <c r="C14" s="11" t="s">
        <v>67</v>
      </c>
      <c r="D14" s="4" t="n">
        <v>0.103909455</v>
      </c>
      <c r="E14" s="5" t="n">
        <v>2.40038673186421E-042</v>
      </c>
      <c r="F14" s="6" t="b">
        <f aca="false">FALSE()</f>
        <v>0</v>
      </c>
      <c r="G14" s="7" t="n">
        <v>0.9</v>
      </c>
      <c r="H14" s="4" t="n">
        <v>0.0198019801980198</v>
      </c>
      <c r="I14" s="4" t="n">
        <v>0.0267909143855562</v>
      </c>
      <c r="J14" s="6" t="b">
        <f aca="false">FALSE()</f>
        <v>0</v>
      </c>
      <c r="K14" s="8" t="s">
        <v>136</v>
      </c>
      <c r="L14" s="8" t="s">
        <v>137</v>
      </c>
    </row>
    <row r="15" customFormat="false" ht="31.3" hidden="false" customHeight="false" outlineLevel="0" collapsed="false">
      <c r="A15" s="2" t="n">
        <v>11</v>
      </c>
      <c r="B15" s="2" t="s">
        <v>138</v>
      </c>
      <c r="C15" s="11" t="s">
        <v>67</v>
      </c>
      <c r="D15" s="4" t="n">
        <v>0.11220688</v>
      </c>
      <c r="E15" s="5" t="n">
        <v>2.72220899337926E-012</v>
      </c>
      <c r="F15" s="6" t="b">
        <f aca="false">FALSE()</f>
        <v>0</v>
      </c>
      <c r="G15" s="7" t="n">
        <v>0.9</v>
      </c>
      <c r="H15" s="4" t="n">
        <v>0.0099009900990099</v>
      </c>
      <c r="I15" s="4" t="n">
        <v>0.0227722772277227</v>
      </c>
      <c r="J15" s="6" t="b">
        <f aca="false">FALSE()</f>
        <v>0</v>
      </c>
      <c r="K15" s="8" t="s">
        <v>68</v>
      </c>
      <c r="L15" s="8" t="s">
        <v>139</v>
      </c>
    </row>
    <row r="16" customFormat="false" ht="31.3" hidden="false" customHeight="false" outlineLevel="0" collapsed="false">
      <c r="A16" s="2" t="n">
        <v>15</v>
      </c>
      <c r="B16" s="2" t="s">
        <v>140</v>
      </c>
      <c r="C16" s="11" t="s">
        <v>67</v>
      </c>
      <c r="D16" s="4" t="n">
        <v>0.18920773</v>
      </c>
      <c r="E16" s="5" t="n">
        <v>3.16271206215448E-078</v>
      </c>
      <c r="F16" s="6" t="b">
        <f aca="false">FALSE()</f>
        <v>0</v>
      </c>
      <c r="G16" s="7" t="n">
        <v>0.8</v>
      </c>
      <c r="H16" s="4" t="n">
        <v>0.0099009900990099</v>
      </c>
      <c r="I16" s="4" t="n">
        <v>0.0227722772277227</v>
      </c>
      <c r="J16" s="6" t="b">
        <f aca="false">FALSE()</f>
        <v>0</v>
      </c>
      <c r="K16" s="8" t="s">
        <v>68</v>
      </c>
      <c r="L16" s="8" t="s">
        <v>141</v>
      </c>
    </row>
    <row r="17" customFormat="false" ht="31.3" hidden="false" customHeight="false" outlineLevel="0" collapsed="false">
      <c r="A17" s="2" t="n">
        <v>16</v>
      </c>
      <c r="B17" s="2" t="s">
        <v>142</v>
      </c>
      <c r="C17" s="11" t="s">
        <v>67</v>
      </c>
      <c r="D17" s="4" t="n">
        <v>0.18217914</v>
      </c>
      <c r="E17" s="5" t="n">
        <v>1.61623461563317E-017</v>
      </c>
      <c r="F17" s="6" t="b">
        <f aca="false">FALSE()</f>
        <v>0</v>
      </c>
      <c r="G17" s="7" t="n">
        <v>0.8</v>
      </c>
      <c r="H17" s="4" t="n">
        <v>0.0198019801980198</v>
      </c>
      <c r="I17" s="4" t="n">
        <v>0.0267909143855562</v>
      </c>
      <c r="J17" s="6" t="b">
        <f aca="false">FALSE()</f>
        <v>0</v>
      </c>
      <c r="K17" s="8" t="s">
        <v>68</v>
      </c>
      <c r="L17" s="8" t="s">
        <v>143</v>
      </c>
    </row>
    <row r="18" customFormat="false" ht="31.3" hidden="false" customHeight="false" outlineLevel="0" collapsed="false">
      <c r="A18" s="2" t="n">
        <v>17</v>
      </c>
      <c r="B18" s="2" t="s">
        <v>72</v>
      </c>
      <c r="C18" s="11" t="s">
        <v>67</v>
      </c>
      <c r="D18" s="4" t="n">
        <v>0.4649069</v>
      </c>
      <c r="E18" s="5" t="n">
        <v>1.4550959251418E-064</v>
      </c>
      <c r="F18" s="6" t="b">
        <f aca="false">FALSE()</f>
        <v>0</v>
      </c>
      <c r="G18" s="7" t="n">
        <v>0.4</v>
      </c>
      <c r="H18" s="4" t="n">
        <v>0.0099009900990099</v>
      </c>
      <c r="I18" s="4" t="n">
        <v>0.0227722772277227</v>
      </c>
      <c r="J18" s="6" t="b">
        <f aca="false">TRUE()</f>
        <v>1</v>
      </c>
      <c r="K18" s="8" t="s">
        <v>68</v>
      </c>
      <c r="L18" s="8" t="s">
        <v>73</v>
      </c>
    </row>
    <row r="19" customFormat="false" ht="31.3" hidden="false" customHeight="false" outlineLevel="0" collapsed="false">
      <c r="A19" s="2" t="n">
        <v>18</v>
      </c>
      <c r="B19" s="2" t="s">
        <v>144</v>
      </c>
      <c r="C19" s="11" t="s">
        <v>67</v>
      </c>
      <c r="D19" s="4" t="n">
        <v>0.13426594</v>
      </c>
      <c r="E19" s="5" t="n">
        <v>1.65900520316133E-007</v>
      </c>
      <c r="F19" s="6" t="b">
        <f aca="false">FALSE()</f>
        <v>0</v>
      </c>
      <c r="G19" s="7" t="n">
        <v>0.7</v>
      </c>
      <c r="H19" s="4" t="n">
        <v>0.0198019801980198</v>
      </c>
      <c r="I19" s="4" t="n">
        <v>0.0267909143855562</v>
      </c>
      <c r="J19" s="6" t="b">
        <f aca="false">FALSE()</f>
        <v>0</v>
      </c>
      <c r="K19" s="8" t="s">
        <v>68</v>
      </c>
      <c r="L19" s="8" t="s">
        <v>145</v>
      </c>
    </row>
    <row r="20" customFormat="false" ht="31.3" hidden="false" customHeight="false" outlineLevel="0" collapsed="false">
      <c r="A20" s="2" t="n">
        <v>19</v>
      </c>
      <c r="B20" s="2" t="s">
        <v>146</v>
      </c>
      <c r="C20" s="11" t="s">
        <v>67</v>
      </c>
      <c r="D20" s="4" t="n">
        <v>0.32478172</v>
      </c>
      <c r="E20" s="5" t="n">
        <v>4.11794647690109E-010</v>
      </c>
      <c r="F20" s="6" t="b">
        <f aca="false">FALSE()</f>
        <v>0</v>
      </c>
      <c r="G20" s="7" t="n">
        <v>0.2</v>
      </c>
      <c r="H20" s="4" t="n">
        <v>0.0198019801980198</v>
      </c>
      <c r="I20" s="4" t="n">
        <v>0.0267909143855562</v>
      </c>
      <c r="J20" s="6" t="b">
        <f aca="false">FALSE()</f>
        <v>0</v>
      </c>
      <c r="K20" s="8" t="s">
        <v>68</v>
      </c>
      <c r="L20" s="8" t="s">
        <v>112</v>
      </c>
    </row>
    <row r="21" customFormat="false" ht="31.3" hidden="false" customHeight="false" outlineLevel="0" collapsed="false">
      <c r="A21" s="2" t="n">
        <v>20</v>
      </c>
      <c r="B21" s="2" t="s">
        <v>147</v>
      </c>
      <c r="C21" s="11" t="s">
        <v>67</v>
      </c>
      <c r="D21" s="4" t="n">
        <v>-0.2600565</v>
      </c>
      <c r="E21" s="5" t="n">
        <v>7.27526450695852E-033</v>
      </c>
      <c r="F21" s="6" t="b">
        <f aca="false">FALSE()</f>
        <v>0</v>
      </c>
      <c r="G21" s="7" t="n">
        <v>0.4</v>
      </c>
      <c r="H21" s="4" t="n">
        <v>0.0297029702970297</v>
      </c>
      <c r="I21" s="4" t="n">
        <v>0.0325318246110325</v>
      </c>
      <c r="J21" s="6" t="b">
        <f aca="false">FALSE()</f>
        <v>0</v>
      </c>
      <c r="K21" s="8" t="s">
        <v>68</v>
      </c>
      <c r="L21" s="8" t="s">
        <v>148</v>
      </c>
    </row>
    <row r="22" customFormat="false" ht="31.3" hidden="false" customHeight="false" outlineLevel="0" collapsed="false">
      <c r="A22" s="2" t="n">
        <v>21</v>
      </c>
      <c r="B22" s="2" t="s">
        <v>149</v>
      </c>
      <c r="C22" s="11" t="s">
        <v>67</v>
      </c>
      <c r="D22" s="4" t="n">
        <v>0.17256476</v>
      </c>
      <c r="E22" s="5" t="n">
        <v>1.91128090548325E-043</v>
      </c>
      <c r="F22" s="6" t="b">
        <f aca="false">FALSE()</f>
        <v>0</v>
      </c>
      <c r="G22" s="7" t="n">
        <v>0.4</v>
      </c>
      <c r="H22" s="4" t="n">
        <v>0.0099009900990099</v>
      </c>
      <c r="I22" s="4" t="n">
        <v>0.0227722772277227</v>
      </c>
      <c r="J22" s="6" t="b">
        <f aca="false">FALSE()</f>
        <v>0</v>
      </c>
      <c r="K22" s="8" t="s">
        <v>68</v>
      </c>
      <c r="L22" s="8" t="s">
        <v>150</v>
      </c>
    </row>
    <row r="23" customFormat="false" ht="31.3" hidden="false" customHeight="false" outlineLevel="0" collapsed="false">
      <c r="A23" s="2" t="n">
        <v>22</v>
      </c>
      <c r="B23" s="2" t="s">
        <v>151</v>
      </c>
      <c r="C23" s="11" t="s">
        <v>67</v>
      </c>
      <c r="D23" s="4" t="n">
        <v>-0.03606564</v>
      </c>
      <c r="E23" s="5" t="n">
        <v>0.578937742757657</v>
      </c>
      <c r="F23" s="6" t="b">
        <f aca="false">TRUE()</f>
        <v>1</v>
      </c>
      <c r="G23" s="7" t="n">
        <v>0.6</v>
      </c>
      <c r="H23" s="4" t="n">
        <v>0.0198019801980198</v>
      </c>
      <c r="I23" s="4" t="n">
        <v>0.0267909143855562</v>
      </c>
      <c r="J23" s="6" t="b">
        <f aca="false">FALSE()</f>
        <v>0</v>
      </c>
      <c r="K23" s="8" t="s">
        <v>152</v>
      </c>
      <c r="L23" s="8" t="s">
        <v>153</v>
      </c>
    </row>
    <row r="24" customFormat="false" ht="46.25" hidden="false" customHeight="false" outlineLevel="0" collapsed="false">
      <c r="A24" s="2" t="n">
        <v>23</v>
      </c>
      <c r="B24" s="2" t="s">
        <v>104</v>
      </c>
      <c r="C24" s="11" t="s">
        <v>67</v>
      </c>
      <c r="D24" s="4" t="n">
        <v>0.1027448</v>
      </c>
      <c r="E24" s="5" t="n">
        <v>0.0465321622222441</v>
      </c>
      <c r="F24" s="6" t="b">
        <f aca="false">FALSE()</f>
        <v>0</v>
      </c>
      <c r="G24" s="7" t="n">
        <v>0.2</v>
      </c>
      <c r="H24" s="4" t="n">
        <v>0.0099009900990099</v>
      </c>
      <c r="I24" s="4" t="n">
        <v>0.0227722772277227</v>
      </c>
      <c r="J24" s="6" t="b">
        <f aca="false">FALSE()</f>
        <v>0</v>
      </c>
      <c r="K24" s="8" t="s">
        <v>105</v>
      </c>
      <c r="L24" s="8" t="s">
        <v>106</v>
      </c>
    </row>
  </sheetData>
  <autoFilter ref="A1:L2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8"/>
    <col collapsed="false" customWidth="true" hidden="false" outlineLevel="0" max="10" min="10" style="0" width="20"/>
    <col collapsed="false" customWidth="true" hidden="false" outlineLevel="0" max="11" min="11" style="0" width="48"/>
    <col collapsed="false" customWidth="true" hidden="false" outlineLevel="0" max="12" min="12" style="0" width="70"/>
  </cols>
  <sheetData>
    <row r="1" customFormat="false" ht="15" hidden="false" customHeight="false" outlineLevel="0" collapsed="false">
      <c r="A1" s="1" t="s">
        <v>0</v>
      </c>
      <c r="B1" s="1" t="s">
        <v>1</v>
      </c>
      <c r="C1" s="1" t="s">
        <v>2</v>
      </c>
      <c r="D1" s="1" t="s">
        <v>3</v>
      </c>
      <c r="E1" s="1" t="s">
        <v>4</v>
      </c>
      <c r="F1" s="1" t="s">
        <v>5</v>
      </c>
      <c r="G1" s="1" t="s">
        <v>6</v>
      </c>
      <c r="H1" s="1" t="s">
        <v>7</v>
      </c>
      <c r="I1" s="1" t="s">
        <v>440</v>
      </c>
      <c r="J1" s="1" t="s">
        <v>8</v>
      </c>
      <c r="K1" s="1" t="s">
        <v>9</v>
      </c>
      <c r="L1" s="1" t="s">
        <v>10</v>
      </c>
    </row>
    <row r="2" customFormat="false" ht="46.25" hidden="false" customHeight="false" outlineLevel="0" collapsed="false">
      <c r="A2" s="2" t="n">
        <v>1</v>
      </c>
      <c r="B2" s="2" t="s">
        <v>154</v>
      </c>
      <c r="C2" s="9" t="s">
        <v>16</v>
      </c>
      <c r="D2" s="4" t="n">
        <v>-1.0677145</v>
      </c>
      <c r="E2" s="5" t="n">
        <v>8.46054684611966E-081</v>
      </c>
      <c r="F2" s="6" t="b">
        <f aca="false">FALSE()</f>
        <v>0</v>
      </c>
      <c r="G2" s="7" t="n">
        <v>0.8</v>
      </c>
      <c r="H2" s="4" t="n">
        <v>0.0396039603960396</v>
      </c>
      <c r="I2" s="4" t="n">
        <v>0.0396039603960396</v>
      </c>
      <c r="J2" s="6" t="b">
        <f aca="false">TRUE()</f>
        <v>1</v>
      </c>
      <c r="K2" s="8" t="s">
        <v>155</v>
      </c>
      <c r="L2" s="8" t="s">
        <v>156</v>
      </c>
    </row>
    <row r="3" customFormat="false" ht="46.25" hidden="false" customHeight="false" outlineLevel="0" collapsed="false">
      <c r="A3" s="2" t="n">
        <v>3</v>
      </c>
      <c r="B3" s="2" t="s">
        <v>19</v>
      </c>
      <c r="C3" s="9" t="s">
        <v>16</v>
      </c>
      <c r="D3" s="4" t="n">
        <v>0.5721981</v>
      </c>
      <c r="E3" s="5" t="n">
        <v>2.80192343522256E-103</v>
      </c>
      <c r="F3" s="6" t="b">
        <f aca="false">FALSE()</f>
        <v>0</v>
      </c>
      <c r="G3" s="7" t="n">
        <v>1</v>
      </c>
      <c r="H3" s="4" t="n">
        <v>0.0099009900990099</v>
      </c>
      <c r="I3" s="4" t="n">
        <v>0.0325318246110325</v>
      </c>
      <c r="J3" s="6" t="b">
        <f aca="false">TRUE()</f>
        <v>1</v>
      </c>
      <c r="K3" s="8" t="s">
        <v>20</v>
      </c>
      <c r="L3" s="8" t="s">
        <v>21</v>
      </c>
    </row>
    <row r="4" customFormat="false" ht="46.25" hidden="false" customHeight="false" outlineLevel="0" collapsed="false">
      <c r="A4" s="2" t="n">
        <v>5</v>
      </c>
      <c r="B4" s="2" t="s">
        <v>22</v>
      </c>
      <c r="C4" s="9" t="s">
        <v>16</v>
      </c>
      <c r="D4" s="4" t="n">
        <v>0.17013964</v>
      </c>
      <c r="E4" s="5" t="n">
        <v>7.48764349312916E-092</v>
      </c>
      <c r="F4" s="6" t="b">
        <f aca="false">FALSE()</f>
        <v>0</v>
      </c>
      <c r="G4" s="7" t="n">
        <v>1</v>
      </c>
      <c r="H4" s="4" t="n">
        <v>0.0198019801980198</v>
      </c>
      <c r="I4" s="4" t="n">
        <v>0.0325318246110325</v>
      </c>
      <c r="J4" s="6" t="b">
        <f aca="false">TRUE()</f>
        <v>1</v>
      </c>
      <c r="K4" s="8" t="s">
        <v>23</v>
      </c>
      <c r="L4" s="8" t="s">
        <v>24</v>
      </c>
    </row>
    <row r="5" customFormat="false" ht="61.15" hidden="false" customHeight="false" outlineLevel="0" collapsed="false">
      <c r="A5" s="2" t="n">
        <v>11</v>
      </c>
      <c r="B5" s="2" t="s">
        <v>157</v>
      </c>
      <c r="C5" s="9" t="s">
        <v>16</v>
      </c>
      <c r="D5" s="4" t="n">
        <v>0.25811455</v>
      </c>
      <c r="E5" s="5" t="n">
        <v>1.86335778044886E-030</v>
      </c>
      <c r="F5" s="6" t="b">
        <f aca="false">FALSE()</f>
        <v>0</v>
      </c>
      <c r="G5" s="7" t="n">
        <v>1</v>
      </c>
      <c r="H5" s="4" t="n">
        <v>0.0297029702970297</v>
      </c>
      <c r="I5" s="4" t="n">
        <v>0.0325318246110325</v>
      </c>
      <c r="J5" s="6" t="b">
        <f aca="false">FALSE()</f>
        <v>0</v>
      </c>
      <c r="K5" s="8" t="s">
        <v>158</v>
      </c>
      <c r="L5" s="8" t="s">
        <v>159</v>
      </c>
    </row>
    <row r="6" customFormat="false" ht="46.25" hidden="false" customHeight="false" outlineLevel="0" collapsed="false">
      <c r="A6" s="2" t="n">
        <v>12</v>
      </c>
      <c r="B6" s="2" t="s">
        <v>28</v>
      </c>
      <c r="C6" s="9" t="s">
        <v>16</v>
      </c>
      <c r="D6" s="4" t="n">
        <v>0.27049708</v>
      </c>
      <c r="E6" s="5" t="n">
        <v>4.74713494640699E-043</v>
      </c>
      <c r="F6" s="6" t="b">
        <f aca="false">FALSE()</f>
        <v>0</v>
      </c>
      <c r="G6" s="7" t="n">
        <v>1</v>
      </c>
      <c r="H6" s="4" t="n">
        <v>0.0297029702970297</v>
      </c>
      <c r="I6" s="4" t="n">
        <v>0.0325318246110325</v>
      </c>
      <c r="J6" s="6" t="b">
        <f aca="false">FALSE()</f>
        <v>0</v>
      </c>
      <c r="K6" s="8" t="s">
        <v>29</v>
      </c>
      <c r="L6" s="8" t="s">
        <v>30</v>
      </c>
    </row>
    <row r="7" customFormat="false" ht="46.25" hidden="false" customHeight="false" outlineLevel="0" collapsed="false">
      <c r="A7" s="2" t="n">
        <v>2</v>
      </c>
      <c r="B7" s="2" t="s">
        <v>160</v>
      </c>
      <c r="C7" s="10" t="s">
        <v>41</v>
      </c>
      <c r="D7" s="4" t="n">
        <v>0.30213574</v>
      </c>
      <c r="E7" s="5" t="n">
        <v>3.03822091495916E-009</v>
      </c>
      <c r="F7" s="6" t="b">
        <f aca="false">FALSE()</f>
        <v>0</v>
      </c>
      <c r="G7" s="7" t="n">
        <v>0.3</v>
      </c>
      <c r="H7" s="4" t="n">
        <v>0.0198019801980198</v>
      </c>
      <c r="I7" s="4" t="n">
        <v>0.0325318246110325</v>
      </c>
      <c r="J7" s="6" t="b">
        <f aca="false">FALSE()</f>
        <v>0</v>
      </c>
      <c r="K7" s="8" t="s">
        <v>161</v>
      </c>
      <c r="L7" s="8" t="s">
        <v>162</v>
      </c>
    </row>
    <row r="8" customFormat="false" ht="31.3" hidden="false" customHeight="false" outlineLevel="0" collapsed="false">
      <c r="A8" s="2" t="n">
        <v>4</v>
      </c>
      <c r="B8" s="2" t="s">
        <v>163</v>
      </c>
      <c r="C8" s="10" t="s">
        <v>41</v>
      </c>
      <c r="D8" s="4" t="n">
        <v>0.28416392</v>
      </c>
      <c r="E8" s="5" t="n">
        <v>3.8467486765423E-157</v>
      </c>
      <c r="F8" s="6" t="b">
        <f aca="false">FALSE()</f>
        <v>0</v>
      </c>
      <c r="G8" s="7" t="n">
        <v>1</v>
      </c>
      <c r="H8" s="4" t="n">
        <v>0.0297029702970297</v>
      </c>
      <c r="I8" s="4" t="n">
        <v>0.0325318246110325</v>
      </c>
      <c r="J8" s="6" t="b">
        <f aca="false">TRUE()</f>
        <v>1</v>
      </c>
      <c r="K8" s="8" t="s">
        <v>164</v>
      </c>
      <c r="L8" s="8" t="s">
        <v>165</v>
      </c>
    </row>
    <row r="9" customFormat="false" ht="46.25" hidden="false" customHeight="false" outlineLevel="0" collapsed="false">
      <c r="A9" s="2" t="n">
        <v>7</v>
      </c>
      <c r="B9" s="2" t="s">
        <v>53</v>
      </c>
      <c r="C9" s="10" t="s">
        <v>41</v>
      </c>
      <c r="D9" s="4" t="n">
        <v>0.35283738</v>
      </c>
      <c r="E9" s="5" t="n">
        <v>1.7074684005665E-088</v>
      </c>
      <c r="F9" s="6" t="b">
        <f aca="false">FALSE()</f>
        <v>0</v>
      </c>
      <c r="G9" s="7" t="n">
        <v>1</v>
      </c>
      <c r="H9" s="4" t="n">
        <v>0.0099009900990099</v>
      </c>
      <c r="I9" s="4" t="n">
        <v>0.0325318246110325</v>
      </c>
      <c r="J9" s="6" t="b">
        <f aca="false">FALSE()</f>
        <v>0</v>
      </c>
      <c r="K9" s="8" t="s">
        <v>54</v>
      </c>
      <c r="L9" s="8" t="s">
        <v>55</v>
      </c>
    </row>
    <row r="10" customFormat="false" ht="46.25" hidden="false" customHeight="false" outlineLevel="0" collapsed="false">
      <c r="A10" s="2" t="n">
        <v>9</v>
      </c>
      <c r="B10" s="2" t="s">
        <v>56</v>
      </c>
      <c r="C10" s="10" t="s">
        <v>41</v>
      </c>
      <c r="D10" s="4" t="n">
        <v>0.50209945</v>
      </c>
      <c r="E10" s="5" t="n">
        <v>4.51374556419075E-068</v>
      </c>
      <c r="F10" s="6" t="b">
        <f aca="false">FALSE()</f>
        <v>0</v>
      </c>
      <c r="G10" s="7" t="n">
        <v>1</v>
      </c>
      <c r="H10" s="4" t="n">
        <v>0.0099009900990099</v>
      </c>
      <c r="I10" s="4" t="n">
        <v>0.0325318246110325</v>
      </c>
      <c r="J10" s="6" t="b">
        <f aca="false">TRUE()</f>
        <v>1</v>
      </c>
      <c r="K10" s="8" t="s">
        <v>54</v>
      </c>
      <c r="L10" s="8" t="s">
        <v>55</v>
      </c>
    </row>
    <row r="11" customFormat="false" ht="31.3" hidden="false" customHeight="false" outlineLevel="0" collapsed="false">
      <c r="A11" s="2" t="n">
        <v>6</v>
      </c>
      <c r="B11" s="2" t="s">
        <v>78</v>
      </c>
      <c r="C11" s="11" t="s">
        <v>67</v>
      </c>
      <c r="D11" s="4" t="n">
        <v>0.061422046</v>
      </c>
      <c r="E11" s="5" t="n">
        <v>6.1220197234444E-017</v>
      </c>
      <c r="F11" s="6" t="b">
        <f aca="false">TRUE()</f>
        <v>1</v>
      </c>
      <c r="G11" s="7" t="n">
        <v>1</v>
      </c>
      <c r="H11" s="4" t="n">
        <v>0.0099009900990099</v>
      </c>
      <c r="I11" s="4" t="n">
        <v>0.0325318246110325</v>
      </c>
      <c r="J11" s="6" t="b">
        <f aca="false">FALSE()</f>
        <v>0</v>
      </c>
      <c r="K11" s="8" t="s">
        <v>68</v>
      </c>
      <c r="L11" s="8" t="s">
        <v>79</v>
      </c>
    </row>
    <row r="12" customFormat="false" ht="31.3" hidden="false" customHeight="false" outlineLevel="0" collapsed="false">
      <c r="A12" s="2" t="n">
        <v>8</v>
      </c>
      <c r="B12" s="2" t="s">
        <v>166</v>
      </c>
      <c r="C12" s="11" t="s">
        <v>67</v>
      </c>
      <c r="D12" s="4" t="n">
        <v>0.06522966</v>
      </c>
      <c r="E12" s="5" t="n">
        <v>1.3280933172998E-008</v>
      </c>
      <c r="F12" s="6" t="b">
        <f aca="false">TRUE()</f>
        <v>1</v>
      </c>
      <c r="G12" s="7" t="n">
        <v>1</v>
      </c>
      <c r="H12" s="4" t="n">
        <v>0.0297029702970297</v>
      </c>
      <c r="I12" s="4" t="n">
        <v>0.0325318246110325</v>
      </c>
      <c r="J12" s="6" t="b">
        <f aca="false">FALSE()</f>
        <v>0</v>
      </c>
      <c r="K12" s="8" t="s">
        <v>167</v>
      </c>
      <c r="L12" s="8" t="s">
        <v>168</v>
      </c>
    </row>
    <row r="13" customFormat="false" ht="31.3" hidden="false" customHeight="false" outlineLevel="0" collapsed="false">
      <c r="A13" s="2" t="n">
        <v>10</v>
      </c>
      <c r="B13" s="2" t="s">
        <v>72</v>
      </c>
      <c r="C13" s="11" t="s">
        <v>67</v>
      </c>
      <c r="D13" s="4" t="n">
        <v>0.4475533</v>
      </c>
      <c r="E13" s="5" t="n">
        <v>1.89792336634876E-057</v>
      </c>
      <c r="F13" s="6" t="b">
        <f aca="false">FALSE()</f>
        <v>0</v>
      </c>
      <c r="G13" s="7" t="n">
        <v>1</v>
      </c>
      <c r="H13" s="4" t="n">
        <v>0.0099009900990099</v>
      </c>
      <c r="I13" s="4" t="n">
        <v>0.0325318246110325</v>
      </c>
      <c r="J13" s="6" t="b">
        <f aca="false">FALSE()</f>
        <v>0</v>
      </c>
      <c r="K13" s="8" t="s">
        <v>68</v>
      </c>
      <c r="L13" s="8" t="s">
        <v>73</v>
      </c>
    </row>
    <row r="14" customFormat="false" ht="31.3" hidden="false" customHeight="false" outlineLevel="0" collapsed="false">
      <c r="A14" s="2" t="n">
        <v>13</v>
      </c>
      <c r="B14" s="2" t="s">
        <v>144</v>
      </c>
      <c r="C14" s="11" t="s">
        <v>67</v>
      </c>
      <c r="D14" s="4" t="n">
        <v>0.32917583</v>
      </c>
      <c r="E14" s="5" t="n">
        <v>9.78550137664117E-031</v>
      </c>
      <c r="F14" s="6" t="b">
        <f aca="false">FALSE()</f>
        <v>0</v>
      </c>
      <c r="G14" s="7" t="n">
        <v>1</v>
      </c>
      <c r="H14" s="4" t="n">
        <v>0.0297029702970297</v>
      </c>
      <c r="I14" s="4" t="n">
        <v>0.0325318246110325</v>
      </c>
      <c r="J14" s="6" t="b">
        <f aca="false">FALSE()</f>
        <v>0</v>
      </c>
      <c r="K14" s="8" t="s">
        <v>68</v>
      </c>
      <c r="L14" s="8" t="s">
        <v>145</v>
      </c>
    </row>
    <row r="15" customFormat="false" ht="31.3" hidden="false" customHeight="false" outlineLevel="0" collapsed="false">
      <c r="A15" s="2" t="n">
        <v>14</v>
      </c>
      <c r="B15" s="2" t="s">
        <v>169</v>
      </c>
      <c r="C15" s="11" t="s">
        <v>67</v>
      </c>
      <c r="D15" s="4" t="n">
        <v>0.119287975</v>
      </c>
      <c r="E15" s="5" t="n">
        <v>1.81190587646451E-015</v>
      </c>
      <c r="F15" s="6" t="b">
        <f aca="false">FALSE()</f>
        <v>0</v>
      </c>
      <c r="G15" s="7" t="n">
        <v>0.9</v>
      </c>
      <c r="H15" s="4" t="n">
        <v>0.0198019801980198</v>
      </c>
      <c r="I15" s="4" t="n">
        <v>0.0325318246110325</v>
      </c>
      <c r="J15" s="6" t="b">
        <f aca="false">FALSE()</f>
        <v>0</v>
      </c>
      <c r="K15" s="8" t="s">
        <v>68</v>
      </c>
      <c r="L15" s="8" t="s">
        <v>170</v>
      </c>
    </row>
    <row r="16" customFormat="false" ht="31.3" hidden="false" customHeight="false" outlineLevel="0" collapsed="false">
      <c r="A16" s="2" t="n">
        <v>15</v>
      </c>
      <c r="B16" s="2" t="s">
        <v>171</v>
      </c>
      <c r="C16" s="11" t="s">
        <v>67</v>
      </c>
      <c r="D16" s="4" t="n">
        <v>-0.11878686</v>
      </c>
      <c r="E16" s="5" t="n">
        <v>1.75762179004377E-009</v>
      </c>
      <c r="F16" s="6" t="b">
        <f aca="false">FALSE()</f>
        <v>0</v>
      </c>
      <c r="G16" s="7" t="n">
        <v>0.9</v>
      </c>
      <c r="H16" s="4" t="n">
        <v>0.0198019801980198</v>
      </c>
      <c r="I16" s="4" t="n">
        <v>0.0325318246110325</v>
      </c>
      <c r="J16" s="6" t="b">
        <f aca="false">FALSE()</f>
        <v>0</v>
      </c>
      <c r="K16" s="8" t="s">
        <v>68</v>
      </c>
      <c r="L16" s="8" t="s">
        <v>172</v>
      </c>
    </row>
    <row r="17" customFormat="false" ht="31.3" hidden="false" customHeight="false" outlineLevel="0" collapsed="false">
      <c r="A17" s="2" t="n">
        <v>16</v>
      </c>
      <c r="B17" s="2" t="s">
        <v>146</v>
      </c>
      <c r="C17" s="11" t="s">
        <v>67</v>
      </c>
      <c r="D17" s="4" t="n">
        <v>0.9888332</v>
      </c>
      <c r="E17" s="5" t="n">
        <v>9.32674007840522E-077</v>
      </c>
      <c r="F17" s="6" t="b">
        <f aca="false">FALSE()</f>
        <v>0</v>
      </c>
      <c r="G17" s="7" t="n">
        <v>0.8</v>
      </c>
      <c r="H17" s="4" t="n">
        <v>0.0198019801980198</v>
      </c>
      <c r="I17" s="4" t="n">
        <v>0.0325318246110325</v>
      </c>
      <c r="J17" s="6" t="b">
        <f aca="false">TRUE()</f>
        <v>1</v>
      </c>
      <c r="K17" s="8" t="s">
        <v>68</v>
      </c>
      <c r="L17" s="8" t="s">
        <v>112</v>
      </c>
    </row>
    <row r="18" customFormat="false" ht="31.3" hidden="false" customHeight="false" outlineLevel="0" collapsed="false">
      <c r="A18" s="2" t="n">
        <v>17</v>
      </c>
      <c r="B18" s="2" t="s">
        <v>173</v>
      </c>
      <c r="C18" s="11" t="s">
        <v>67</v>
      </c>
      <c r="D18" s="4" t="n">
        <v>-0.107587874</v>
      </c>
      <c r="E18" s="5" t="n">
        <v>1.93919050959343E-007</v>
      </c>
      <c r="F18" s="6" t="b">
        <f aca="false">FALSE()</f>
        <v>0</v>
      </c>
      <c r="G18" s="7" t="n">
        <v>0.8</v>
      </c>
      <c r="H18" s="4" t="n">
        <v>0.0099009900990099</v>
      </c>
      <c r="I18" s="4" t="n">
        <v>0.0325318246110325</v>
      </c>
      <c r="J18" s="6" t="b">
        <f aca="false">FALSE()</f>
        <v>0</v>
      </c>
      <c r="K18" s="8" t="s">
        <v>68</v>
      </c>
      <c r="L18" s="8" t="s">
        <v>174</v>
      </c>
    </row>
    <row r="19" customFormat="false" ht="31.3" hidden="false" customHeight="false" outlineLevel="0" collapsed="false">
      <c r="A19" s="2" t="n">
        <v>18</v>
      </c>
      <c r="B19" s="2" t="s">
        <v>175</v>
      </c>
      <c r="C19" s="11" t="s">
        <v>67</v>
      </c>
      <c r="D19" s="4" t="n">
        <v>0.09757373</v>
      </c>
      <c r="E19" s="5" t="n">
        <v>1.47083571715064E-008</v>
      </c>
      <c r="F19" s="6" t="b">
        <f aca="false">TRUE()</f>
        <v>1</v>
      </c>
      <c r="G19" s="7" t="n">
        <v>1</v>
      </c>
      <c r="H19" s="4" t="n">
        <v>0.0099009900990099</v>
      </c>
      <c r="I19" s="4" t="n">
        <v>0.0325318246110325</v>
      </c>
      <c r="J19" s="6" t="b">
        <f aca="false">FALSE()</f>
        <v>0</v>
      </c>
      <c r="K19" s="8" t="s">
        <v>176</v>
      </c>
      <c r="L19" s="8" t="s">
        <v>177</v>
      </c>
    </row>
    <row r="20" customFormat="false" ht="31.3" hidden="false" customHeight="false" outlineLevel="0" collapsed="false">
      <c r="A20" s="2" t="n">
        <v>19</v>
      </c>
      <c r="B20" s="2" t="s">
        <v>178</v>
      </c>
      <c r="C20" s="11" t="s">
        <v>67</v>
      </c>
      <c r="D20" s="4" t="n">
        <v>0.24191454</v>
      </c>
      <c r="E20" s="5" t="n">
        <v>9.14303938295618E-006</v>
      </c>
      <c r="F20" s="6" t="b">
        <f aca="false">FALSE()</f>
        <v>0</v>
      </c>
      <c r="G20" s="7" t="n">
        <v>0.7</v>
      </c>
      <c r="H20" s="4" t="n">
        <v>0.0198019801980198</v>
      </c>
      <c r="I20" s="4" t="n">
        <v>0.0325318246110325</v>
      </c>
      <c r="J20" s="6" t="b">
        <f aca="false">FALSE()</f>
        <v>0</v>
      </c>
      <c r="K20" s="8" t="s">
        <v>68</v>
      </c>
      <c r="L20" s="8" t="s">
        <v>179</v>
      </c>
    </row>
    <row r="21" customFormat="false" ht="31.3" hidden="false" customHeight="false" outlineLevel="0" collapsed="false">
      <c r="A21" s="2" t="n">
        <v>20</v>
      </c>
      <c r="B21" s="2" t="s">
        <v>111</v>
      </c>
      <c r="C21" s="11" t="s">
        <v>67</v>
      </c>
      <c r="D21" s="4" t="n">
        <v>0.5416309</v>
      </c>
      <c r="E21" s="5" t="n">
        <v>3.7179860447426E-047</v>
      </c>
      <c r="F21" s="6" t="b">
        <f aca="false">FALSE()</f>
        <v>0</v>
      </c>
      <c r="G21" s="7" t="n">
        <v>0.3</v>
      </c>
      <c r="H21" s="4" t="n">
        <v>0.0297029702970297</v>
      </c>
      <c r="I21" s="4" t="n">
        <v>0.0325318246110325</v>
      </c>
      <c r="J21" s="6" t="b">
        <f aca="false">TRUE()</f>
        <v>1</v>
      </c>
      <c r="K21" s="8" t="s">
        <v>68</v>
      </c>
      <c r="L21" s="8" t="s">
        <v>112</v>
      </c>
    </row>
    <row r="22" customFormat="false" ht="46.25" hidden="false" customHeight="false" outlineLevel="0" collapsed="false">
      <c r="A22" s="2" t="n">
        <v>21</v>
      </c>
      <c r="B22" s="2" t="s">
        <v>104</v>
      </c>
      <c r="C22" s="11" t="s">
        <v>67</v>
      </c>
      <c r="D22" s="4" t="n">
        <v>0.19416435</v>
      </c>
      <c r="E22" s="5" t="n">
        <v>0.0005186457807994</v>
      </c>
      <c r="F22" s="6" t="b">
        <f aca="false">FALSE()</f>
        <v>0</v>
      </c>
      <c r="G22" s="7" t="n">
        <v>0.6</v>
      </c>
      <c r="H22" s="4" t="n">
        <v>0.0297029702970297</v>
      </c>
      <c r="I22" s="4" t="n">
        <v>0.0325318246110325</v>
      </c>
      <c r="J22" s="6" t="b">
        <f aca="false">FALSE()</f>
        <v>0</v>
      </c>
      <c r="K22" s="8" t="s">
        <v>105</v>
      </c>
      <c r="L22" s="8" t="s">
        <v>106</v>
      </c>
    </row>
    <row r="23" customFormat="false" ht="31.3" hidden="false" customHeight="false" outlineLevel="0" collapsed="false">
      <c r="A23" s="2" t="n">
        <v>22</v>
      </c>
      <c r="B23" s="2" t="s">
        <v>180</v>
      </c>
      <c r="C23" s="11" t="s">
        <v>67</v>
      </c>
      <c r="D23" s="4" t="n">
        <v>-0.09235255</v>
      </c>
      <c r="E23" s="5" t="n">
        <v>0.0389757839474736</v>
      </c>
      <c r="F23" s="6" t="b">
        <f aca="false">TRUE()</f>
        <v>1</v>
      </c>
      <c r="G23" s="7" t="n">
        <v>0.8</v>
      </c>
      <c r="H23" s="4" t="n">
        <v>0.0396039603960396</v>
      </c>
      <c r="I23" s="4" t="n">
        <v>0.0396039603960396</v>
      </c>
      <c r="J23" s="6" t="b">
        <f aca="false">FALSE()</f>
        <v>0</v>
      </c>
      <c r="K23" s="8" t="s">
        <v>68</v>
      </c>
      <c r="L23" s="8" t="s">
        <v>181</v>
      </c>
    </row>
    <row r="24" customFormat="false" ht="31.3" hidden="false" customHeight="false" outlineLevel="0" collapsed="false">
      <c r="A24" s="2" t="n">
        <v>23</v>
      </c>
      <c r="B24" s="2" t="s">
        <v>182</v>
      </c>
      <c r="C24" s="11" t="s">
        <v>67</v>
      </c>
      <c r="D24" s="4" t="n">
        <v>0.61310506</v>
      </c>
      <c r="E24" s="5" t="n">
        <v>1.47391460429123E-032</v>
      </c>
      <c r="F24" s="6" t="b">
        <f aca="false">FALSE()</f>
        <v>0</v>
      </c>
      <c r="G24" s="7" t="n">
        <v>0.4</v>
      </c>
      <c r="H24" s="4" t="n">
        <v>0.0198019801980198</v>
      </c>
      <c r="I24" s="4" t="n">
        <v>0.0325318246110325</v>
      </c>
      <c r="J24" s="6" t="b">
        <f aca="false">FALSE()</f>
        <v>0</v>
      </c>
      <c r="K24" s="8" t="s">
        <v>68</v>
      </c>
      <c r="L24" s="8" t="s">
        <v>183</v>
      </c>
    </row>
  </sheetData>
  <autoFilter ref="A1:L2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8"/>
    <col collapsed="false" customWidth="true" hidden="false" outlineLevel="0" max="10" min="10" style="0" width="20"/>
    <col collapsed="false" customWidth="true" hidden="false" outlineLevel="0" max="11" min="11" style="0" width="48"/>
    <col collapsed="false" customWidth="true" hidden="false" outlineLevel="0" max="12" min="12" style="0" width="70"/>
  </cols>
  <sheetData>
    <row r="1" customFormat="false" ht="15" hidden="false" customHeight="false" outlineLevel="0" collapsed="false">
      <c r="A1" s="1" t="s">
        <v>0</v>
      </c>
      <c r="B1" s="1" t="s">
        <v>1</v>
      </c>
      <c r="C1" s="1" t="s">
        <v>2</v>
      </c>
      <c r="D1" s="1" t="s">
        <v>3</v>
      </c>
      <c r="E1" s="1" t="s">
        <v>4</v>
      </c>
      <c r="F1" s="1" t="s">
        <v>5</v>
      </c>
      <c r="G1" s="1" t="s">
        <v>6</v>
      </c>
      <c r="H1" s="1" t="s">
        <v>7</v>
      </c>
      <c r="I1" s="1" t="s">
        <v>440</v>
      </c>
      <c r="J1" s="1" t="s">
        <v>8</v>
      </c>
      <c r="K1" s="1" t="s">
        <v>9</v>
      </c>
      <c r="L1" s="1" t="s">
        <v>10</v>
      </c>
    </row>
    <row r="2" customFormat="false" ht="31.3" hidden="false" customHeight="false" outlineLevel="0" collapsed="false">
      <c r="A2" s="2" t="n">
        <v>3</v>
      </c>
      <c r="B2" s="2" t="s">
        <v>184</v>
      </c>
      <c r="C2" s="3" t="s">
        <v>12</v>
      </c>
      <c r="D2" s="4" t="n">
        <v>-0.11295801</v>
      </c>
      <c r="E2" s="5" t="n">
        <v>0.0042352054752102</v>
      </c>
      <c r="F2" s="6" t="b">
        <f aca="false">FALSE()</f>
        <v>0</v>
      </c>
      <c r="G2" s="7" t="n">
        <v>1</v>
      </c>
      <c r="H2" s="4" t="n">
        <v>0.0198019801980198</v>
      </c>
      <c r="I2" s="4" t="n">
        <v>0.0254596888260254</v>
      </c>
      <c r="J2" s="6" t="b">
        <f aca="false">FALSE()</f>
        <v>0</v>
      </c>
      <c r="K2" s="8" t="s">
        <v>185</v>
      </c>
      <c r="L2" s="8" t="s">
        <v>186</v>
      </c>
    </row>
    <row r="3" customFormat="false" ht="31.3" hidden="false" customHeight="false" outlineLevel="0" collapsed="false">
      <c r="A3" s="2" t="n">
        <v>1</v>
      </c>
      <c r="B3" s="2" t="s">
        <v>187</v>
      </c>
      <c r="C3" s="9" t="s">
        <v>16</v>
      </c>
      <c r="D3" s="4" t="n">
        <v>0.6120629</v>
      </c>
      <c r="E3" s="5" t="n">
        <v>0</v>
      </c>
      <c r="F3" s="6" t="b">
        <f aca="false">FALSE()</f>
        <v>0</v>
      </c>
      <c r="G3" s="7" t="n">
        <v>1</v>
      </c>
      <c r="H3" s="4" t="n">
        <v>0.0396039603960396</v>
      </c>
      <c r="I3" s="4" t="n">
        <v>0.0396039603960396</v>
      </c>
      <c r="J3" s="6" t="b">
        <f aca="false">TRUE()</f>
        <v>1</v>
      </c>
      <c r="K3" s="8" t="s">
        <v>188</v>
      </c>
      <c r="L3" s="8" t="s">
        <v>189</v>
      </c>
    </row>
    <row r="4" customFormat="false" ht="46.25" hidden="false" customHeight="false" outlineLevel="0" collapsed="false">
      <c r="A4" s="2" t="n">
        <v>4</v>
      </c>
      <c r="B4" s="2" t="s">
        <v>28</v>
      </c>
      <c r="C4" s="9" t="s">
        <v>16</v>
      </c>
      <c r="D4" s="4" t="n">
        <v>-0.33596244</v>
      </c>
      <c r="E4" s="5" t="n">
        <v>8.14538780923988E-016</v>
      </c>
      <c r="F4" s="6" t="b">
        <f aca="false">FALSE()</f>
        <v>0</v>
      </c>
      <c r="G4" s="7" t="n">
        <v>1</v>
      </c>
      <c r="H4" s="4" t="n">
        <v>0.0198019801980198</v>
      </c>
      <c r="I4" s="4" t="n">
        <v>0.0254596888260254</v>
      </c>
      <c r="J4" s="6" t="b">
        <f aca="false">FALSE()</f>
        <v>0</v>
      </c>
      <c r="K4" s="8" t="s">
        <v>29</v>
      </c>
      <c r="L4" s="8" t="s">
        <v>30</v>
      </c>
    </row>
    <row r="5" customFormat="false" ht="46.25" hidden="false" customHeight="false" outlineLevel="0" collapsed="false">
      <c r="A5" s="2" t="n">
        <v>5</v>
      </c>
      <c r="B5" s="2" t="s">
        <v>190</v>
      </c>
      <c r="C5" s="9" t="s">
        <v>16</v>
      </c>
      <c r="D5" s="4" t="n">
        <v>0.15018794</v>
      </c>
      <c r="E5" s="5" t="n">
        <v>1.35971017981271E-010</v>
      </c>
      <c r="F5" s="6" t="b">
        <f aca="false">FALSE()</f>
        <v>0</v>
      </c>
      <c r="G5" s="7" t="n">
        <v>1</v>
      </c>
      <c r="H5" s="4" t="n">
        <v>0.0198019801980198</v>
      </c>
      <c r="I5" s="4" t="n">
        <v>0.0254596888260254</v>
      </c>
      <c r="J5" s="6" t="b">
        <f aca="false">FALSE()</f>
        <v>0</v>
      </c>
      <c r="K5" s="8" t="s">
        <v>191</v>
      </c>
      <c r="L5" s="8" t="s">
        <v>192</v>
      </c>
    </row>
    <row r="6" customFormat="false" ht="46.25" hidden="false" customHeight="false" outlineLevel="0" collapsed="false">
      <c r="A6" s="2" t="n">
        <v>10</v>
      </c>
      <c r="B6" s="2" t="s">
        <v>193</v>
      </c>
      <c r="C6" s="9" t="s">
        <v>16</v>
      </c>
      <c r="D6" s="4" t="n">
        <v>-0.05007029</v>
      </c>
      <c r="E6" s="5" t="n">
        <v>0.398427000056801</v>
      </c>
      <c r="F6" s="6" t="b">
        <f aca="false">TRUE()</f>
        <v>1</v>
      </c>
      <c r="G6" s="7" t="n">
        <v>1</v>
      </c>
      <c r="H6" s="4" t="n">
        <v>0.0198019801980198</v>
      </c>
      <c r="I6" s="4" t="n">
        <v>0.0254596888260254</v>
      </c>
      <c r="J6" s="6" t="b">
        <f aca="false">FALSE()</f>
        <v>0</v>
      </c>
      <c r="K6" s="8" t="s">
        <v>194</v>
      </c>
      <c r="L6" s="8" t="s">
        <v>195</v>
      </c>
    </row>
    <row r="7" customFormat="false" ht="31.3" hidden="false" customHeight="false" outlineLevel="0" collapsed="false">
      <c r="A7" s="2" t="n">
        <v>16</v>
      </c>
      <c r="B7" s="2" t="s">
        <v>196</v>
      </c>
      <c r="C7" s="9" t="s">
        <v>16</v>
      </c>
      <c r="D7" s="4" t="n">
        <v>-0.3257028</v>
      </c>
      <c r="E7" s="5" t="n">
        <v>1.2126372062244E-010</v>
      </c>
      <c r="F7" s="6" t="b">
        <f aca="false">FALSE()</f>
        <v>0</v>
      </c>
      <c r="G7" s="7" t="n">
        <v>0.9</v>
      </c>
      <c r="H7" s="4" t="n">
        <v>0.0099009900990099</v>
      </c>
      <c r="I7" s="4" t="n">
        <v>0.0254596888260254</v>
      </c>
      <c r="J7" s="6" t="b">
        <f aca="false">FALSE()</f>
        <v>0</v>
      </c>
      <c r="K7" s="8" t="s">
        <v>197</v>
      </c>
      <c r="L7" s="8" t="s">
        <v>198</v>
      </c>
    </row>
    <row r="8" customFormat="false" ht="61.15" hidden="false" customHeight="false" outlineLevel="0" collapsed="false">
      <c r="A8" s="2" t="n">
        <v>14</v>
      </c>
      <c r="B8" s="2" t="s">
        <v>199</v>
      </c>
      <c r="C8" s="9" t="s">
        <v>16</v>
      </c>
      <c r="D8" s="4" t="n">
        <v>-0.638039</v>
      </c>
      <c r="E8" s="5" t="n">
        <v>2.22592883333393E-037</v>
      </c>
      <c r="F8" s="6" t="b">
        <f aca="false">FALSE()</f>
        <v>0</v>
      </c>
      <c r="G8" s="7" t="n">
        <v>1</v>
      </c>
      <c r="H8" s="4" t="n">
        <v>0.0099009900990099</v>
      </c>
      <c r="I8" s="4" t="n">
        <v>0.0254596888260254</v>
      </c>
      <c r="J8" s="6" t="b">
        <f aca="false">FALSE()</f>
        <v>0</v>
      </c>
      <c r="K8" s="8" t="s">
        <v>200</v>
      </c>
      <c r="L8" s="8" t="s">
        <v>201</v>
      </c>
    </row>
    <row r="9" customFormat="false" ht="46.25" hidden="false" customHeight="false" outlineLevel="0" collapsed="false">
      <c r="A9" s="2" t="n">
        <v>6</v>
      </c>
      <c r="B9" s="2" t="s">
        <v>53</v>
      </c>
      <c r="C9" s="10" t="s">
        <v>41</v>
      </c>
      <c r="D9" s="4" t="n">
        <v>0.21524277</v>
      </c>
      <c r="E9" s="5" t="n">
        <v>7.99493834657585E-010</v>
      </c>
      <c r="F9" s="6" t="b">
        <f aca="false">FALSE()</f>
        <v>0</v>
      </c>
      <c r="G9" s="7" t="n">
        <v>1</v>
      </c>
      <c r="H9" s="4" t="n">
        <v>0.0198019801980198</v>
      </c>
      <c r="I9" s="4" t="n">
        <v>0.0254596888260254</v>
      </c>
      <c r="J9" s="6" t="b">
        <f aca="false">FALSE()</f>
        <v>0</v>
      </c>
      <c r="K9" s="8" t="s">
        <v>54</v>
      </c>
      <c r="L9" s="8" t="s">
        <v>55</v>
      </c>
    </row>
    <row r="10" customFormat="false" ht="46.25" hidden="false" customHeight="false" outlineLevel="0" collapsed="false">
      <c r="A10" s="2" t="n">
        <v>15</v>
      </c>
      <c r="B10" s="2" t="s">
        <v>202</v>
      </c>
      <c r="C10" s="10" t="s">
        <v>41</v>
      </c>
      <c r="D10" s="4" t="n">
        <v>0.21412526</v>
      </c>
      <c r="E10" s="5" t="n">
        <v>7.66186532704427E-011</v>
      </c>
      <c r="F10" s="6" t="b">
        <f aca="false">FALSE()</f>
        <v>0</v>
      </c>
      <c r="G10" s="7" t="n">
        <v>1</v>
      </c>
      <c r="H10" s="4" t="n">
        <v>0.0099009900990099</v>
      </c>
      <c r="I10" s="4" t="n">
        <v>0.0254596888260254</v>
      </c>
      <c r="J10" s="6" t="b">
        <f aca="false">FALSE()</f>
        <v>0</v>
      </c>
      <c r="K10" s="8" t="s">
        <v>203</v>
      </c>
      <c r="L10" s="8" t="s">
        <v>204</v>
      </c>
    </row>
    <row r="11" customFormat="false" ht="46.25" hidden="false" customHeight="false" outlineLevel="0" collapsed="false">
      <c r="A11" s="2" t="n">
        <v>18</v>
      </c>
      <c r="B11" s="2" t="s">
        <v>56</v>
      </c>
      <c r="C11" s="10" t="s">
        <v>41</v>
      </c>
      <c r="D11" s="4" t="n">
        <v>0.1532745</v>
      </c>
      <c r="E11" s="5" t="n">
        <v>0.4006307502807</v>
      </c>
      <c r="F11" s="6" t="b">
        <f aca="false">TRUE()</f>
        <v>1</v>
      </c>
      <c r="G11" s="7" t="n">
        <v>0.6</v>
      </c>
      <c r="H11" s="4" t="n">
        <v>0.0297029702970297</v>
      </c>
      <c r="I11" s="4" t="n">
        <v>0.0334158415841584</v>
      </c>
      <c r="J11" s="6" t="b">
        <f aca="false">FALSE()</f>
        <v>0</v>
      </c>
      <c r="K11" s="8" t="s">
        <v>54</v>
      </c>
      <c r="L11" s="8" t="s">
        <v>55</v>
      </c>
    </row>
    <row r="12" customFormat="false" ht="31.3" hidden="false" customHeight="false" outlineLevel="0" collapsed="false">
      <c r="A12" s="2" t="n">
        <v>2</v>
      </c>
      <c r="B12" s="2" t="s">
        <v>205</v>
      </c>
      <c r="C12" s="11" t="s">
        <v>67</v>
      </c>
      <c r="D12" s="4" t="n">
        <v>-0.5233208</v>
      </c>
      <c r="E12" s="5" t="n">
        <v>4.62489251900515E-085</v>
      </c>
      <c r="F12" s="6" t="b">
        <f aca="false">FALSE()</f>
        <v>0</v>
      </c>
      <c r="G12" s="7" t="n">
        <v>1</v>
      </c>
      <c r="H12" s="4" t="n">
        <v>0.0198019801980198</v>
      </c>
      <c r="I12" s="4" t="n">
        <v>0.0254596888260254</v>
      </c>
      <c r="J12" s="6" t="b">
        <f aca="false">TRUE()</f>
        <v>1</v>
      </c>
      <c r="K12" s="8" t="s">
        <v>68</v>
      </c>
      <c r="L12" s="8" t="s">
        <v>172</v>
      </c>
    </row>
    <row r="13" customFormat="false" ht="31.3" hidden="false" customHeight="false" outlineLevel="0" collapsed="false">
      <c r="A13" s="2" t="n">
        <v>7</v>
      </c>
      <c r="B13" s="2" t="s">
        <v>138</v>
      </c>
      <c r="C13" s="11" t="s">
        <v>67</v>
      </c>
      <c r="D13" s="4" t="n">
        <v>0.42481253</v>
      </c>
      <c r="E13" s="5" t="n">
        <v>3.6096094248939E-031</v>
      </c>
      <c r="F13" s="6" t="b">
        <f aca="false">FALSE()</f>
        <v>0</v>
      </c>
      <c r="G13" s="7" t="n">
        <v>1</v>
      </c>
      <c r="H13" s="4" t="n">
        <v>0.0198019801980198</v>
      </c>
      <c r="I13" s="4" t="n">
        <v>0.0254596888260254</v>
      </c>
      <c r="J13" s="6" t="b">
        <f aca="false">TRUE()</f>
        <v>1</v>
      </c>
      <c r="K13" s="8" t="s">
        <v>68</v>
      </c>
      <c r="L13" s="8" t="s">
        <v>139</v>
      </c>
    </row>
    <row r="14" customFormat="false" ht="31.3" hidden="false" customHeight="false" outlineLevel="0" collapsed="false">
      <c r="A14" s="2" t="n">
        <v>8</v>
      </c>
      <c r="B14" s="2" t="s">
        <v>206</v>
      </c>
      <c r="C14" s="11" t="s">
        <v>67</v>
      </c>
      <c r="D14" s="4" t="n">
        <v>-0.0254348</v>
      </c>
      <c r="E14" s="5" t="n">
        <v>0.116900119076486</v>
      </c>
      <c r="F14" s="6" t="b">
        <f aca="false">TRUE()</f>
        <v>1</v>
      </c>
      <c r="G14" s="7" t="n">
        <v>1</v>
      </c>
      <c r="H14" s="4" t="n">
        <v>0.0099009900990099</v>
      </c>
      <c r="I14" s="4" t="n">
        <v>0.0254596888260254</v>
      </c>
      <c r="J14" s="6" t="b">
        <f aca="false">FALSE()</f>
        <v>0</v>
      </c>
      <c r="K14" s="8" t="s">
        <v>68</v>
      </c>
      <c r="L14" s="8" t="s">
        <v>207</v>
      </c>
    </row>
    <row r="15" customFormat="false" ht="31.3" hidden="false" customHeight="false" outlineLevel="0" collapsed="false">
      <c r="A15" s="2" t="n">
        <v>9</v>
      </c>
      <c r="B15" s="2" t="s">
        <v>208</v>
      </c>
      <c r="C15" s="11" t="s">
        <v>67</v>
      </c>
      <c r="D15" s="4" t="n">
        <v>-0.6710748</v>
      </c>
      <c r="E15" s="5" t="n">
        <v>9.9878972410907E-063</v>
      </c>
      <c r="F15" s="6" t="b">
        <f aca="false">FALSE()</f>
        <v>0</v>
      </c>
      <c r="G15" s="7" t="n">
        <v>1</v>
      </c>
      <c r="H15" s="4" t="n">
        <v>0.0198019801980198</v>
      </c>
      <c r="I15" s="4" t="n">
        <v>0.0254596888260254</v>
      </c>
      <c r="J15" s="6" t="b">
        <f aca="false">TRUE()</f>
        <v>1</v>
      </c>
      <c r="K15" s="8" t="s">
        <v>68</v>
      </c>
      <c r="L15" s="8" t="s">
        <v>209</v>
      </c>
    </row>
    <row r="16" customFormat="false" ht="31.3" hidden="false" customHeight="false" outlineLevel="0" collapsed="false">
      <c r="A16" s="2" t="n">
        <v>11</v>
      </c>
      <c r="B16" s="2" t="s">
        <v>210</v>
      </c>
      <c r="C16" s="11" t="s">
        <v>67</v>
      </c>
      <c r="D16" s="4" t="n">
        <v>0.30007973</v>
      </c>
      <c r="E16" s="5" t="n">
        <v>3.07256896376835E-017</v>
      </c>
      <c r="F16" s="6" t="b">
        <f aca="false">FALSE()</f>
        <v>0</v>
      </c>
      <c r="G16" s="7" t="n">
        <v>1</v>
      </c>
      <c r="H16" s="4" t="n">
        <v>0.0198019801980198</v>
      </c>
      <c r="I16" s="4" t="n">
        <v>0.0254596888260254</v>
      </c>
      <c r="J16" s="6" t="b">
        <f aca="false">FALSE()</f>
        <v>0</v>
      </c>
      <c r="K16" s="8" t="s">
        <v>68</v>
      </c>
      <c r="L16" s="8" t="s">
        <v>211</v>
      </c>
    </row>
    <row r="17" customFormat="false" ht="31.3" hidden="false" customHeight="false" outlineLevel="0" collapsed="false">
      <c r="A17" s="2" t="n">
        <v>12</v>
      </c>
      <c r="B17" s="2" t="s">
        <v>212</v>
      </c>
      <c r="C17" s="11" t="s">
        <v>67</v>
      </c>
      <c r="D17" s="4" t="n">
        <v>-0.05132723</v>
      </c>
      <c r="E17" s="5" t="n">
        <v>0.284219633990057</v>
      </c>
      <c r="F17" s="6" t="b">
        <f aca="false">TRUE()</f>
        <v>1</v>
      </c>
      <c r="G17" s="7" t="n">
        <v>1</v>
      </c>
      <c r="H17" s="4" t="n">
        <v>0.0396039603960396</v>
      </c>
      <c r="I17" s="4" t="n">
        <v>0.0396039603960396</v>
      </c>
      <c r="J17" s="6" t="b">
        <f aca="false">FALSE()</f>
        <v>0</v>
      </c>
      <c r="K17" s="8" t="s">
        <v>68</v>
      </c>
      <c r="L17" s="8" t="s">
        <v>213</v>
      </c>
    </row>
    <row r="18" customFormat="false" ht="31.3" hidden="false" customHeight="false" outlineLevel="0" collapsed="false">
      <c r="A18" s="2" t="n">
        <v>13</v>
      </c>
      <c r="B18" s="2" t="s">
        <v>175</v>
      </c>
      <c r="C18" s="11" t="s">
        <v>67</v>
      </c>
      <c r="D18" s="4" t="n">
        <v>-0.057244528</v>
      </c>
      <c r="E18" s="5" t="n">
        <v>0.323681857965545</v>
      </c>
      <c r="F18" s="6" t="b">
        <f aca="false">TRUE()</f>
        <v>1</v>
      </c>
      <c r="G18" s="7" t="n">
        <v>1</v>
      </c>
      <c r="H18" s="4" t="n">
        <v>0.0099009900990099</v>
      </c>
      <c r="I18" s="4" t="n">
        <v>0.0254596888260254</v>
      </c>
      <c r="J18" s="6" t="b">
        <f aca="false">FALSE()</f>
        <v>0</v>
      </c>
      <c r="K18" s="8" t="s">
        <v>176</v>
      </c>
      <c r="L18" s="8" t="s">
        <v>177</v>
      </c>
    </row>
    <row r="19" customFormat="false" ht="31.3" hidden="false" customHeight="false" outlineLevel="0" collapsed="false">
      <c r="A19" s="2" t="n">
        <v>17</v>
      </c>
      <c r="B19" s="2" t="s">
        <v>135</v>
      </c>
      <c r="C19" s="11" t="s">
        <v>67</v>
      </c>
      <c r="D19" s="4" t="n">
        <v>-0.6046328</v>
      </c>
      <c r="E19" s="5" t="n">
        <v>9.57473835096924E-039</v>
      </c>
      <c r="F19" s="6" t="b">
        <f aca="false">FALSE()</f>
        <v>0</v>
      </c>
      <c r="G19" s="7" t="n">
        <v>0.4</v>
      </c>
      <c r="H19" s="4" t="n">
        <v>0.0297029702970297</v>
      </c>
      <c r="I19" s="4" t="n">
        <v>0.0334158415841584</v>
      </c>
      <c r="J19" s="6" t="b">
        <f aca="false">TRUE()</f>
        <v>1</v>
      </c>
      <c r="K19" s="8" t="s">
        <v>136</v>
      </c>
      <c r="L19" s="8" t="s">
        <v>137</v>
      </c>
    </row>
  </sheetData>
  <autoFilter ref="A1:L1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8"/>
    <col collapsed="false" customWidth="true" hidden="false" outlineLevel="0" max="10" min="10" style="0" width="20"/>
    <col collapsed="false" customWidth="true" hidden="false" outlineLevel="0" max="11" min="11" style="0" width="48"/>
    <col collapsed="false" customWidth="true" hidden="false" outlineLevel="0" max="12" min="12" style="0" width="70"/>
  </cols>
  <sheetData>
    <row r="1" customFormat="false" ht="15" hidden="false" customHeight="false" outlineLevel="0" collapsed="false">
      <c r="A1" s="1" t="s">
        <v>0</v>
      </c>
      <c r="B1" s="1" t="s">
        <v>1</v>
      </c>
      <c r="C1" s="1" t="s">
        <v>2</v>
      </c>
      <c r="D1" s="1" t="s">
        <v>3</v>
      </c>
      <c r="E1" s="1" t="s">
        <v>4</v>
      </c>
      <c r="F1" s="1" t="s">
        <v>5</v>
      </c>
      <c r="G1" s="1" t="s">
        <v>6</v>
      </c>
      <c r="H1" s="1" t="s">
        <v>7</v>
      </c>
      <c r="I1" s="1" t="s">
        <v>440</v>
      </c>
      <c r="J1" s="1" t="s">
        <v>8</v>
      </c>
      <c r="K1" s="1" t="s">
        <v>9</v>
      </c>
      <c r="L1" s="1" t="s">
        <v>10</v>
      </c>
    </row>
    <row r="2" customFormat="false" ht="46.25" hidden="false" customHeight="false" outlineLevel="0" collapsed="false">
      <c r="A2" s="2" t="n">
        <v>5</v>
      </c>
      <c r="B2" s="2" t="s">
        <v>214</v>
      </c>
      <c r="C2" s="3" t="s">
        <v>12</v>
      </c>
      <c r="D2" s="4" t="n">
        <v>-0.44625685</v>
      </c>
      <c r="E2" s="5" t="n">
        <v>1.92294622647858E-019</v>
      </c>
      <c r="F2" s="6" t="b">
        <f aca="false">FALSE()</f>
        <v>0</v>
      </c>
      <c r="G2" s="7" t="n">
        <v>1</v>
      </c>
      <c r="H2" s="4" t="n">
        <v>0.0198019801980198</v>
      </c>
      <c r="I2" s="4" t="n">
        <v>0.033003300330033</v>
      </c>
      <c r="J2" s="6" t="b">
        <f aca="false">TRUE()</f>
        <v>1</v>
      </c>
      <c r="K2" s="8" t="s">
        <v>215</v>
      </c>
      <c r="L2" s="8" t="s">
        <v>216</v>
      </c>
    </row>
    <row r="3" customFormat="false" ht="61.15" hidden="false" customHeight="false" outlineLevel="0" collapsed="false">
      <c r="A3" s="2" t="n">
        <v>9</v>
      </c>
      <c r="B3" s="2" t="s">
        <v>217</v>
      </c>
      <c r="C3" s="3" t="s">
        <v>12</v>
      </c>
      <c r="D3" s="4" t="n">
        <v>-0.300191</v>
      </c>
      <c r="E3" s="5" t="n">
        <v>3.69458853847669E-005</v>
      </c>
      <c r="F3" s="6" t="b">
        <f aca="false">FALSE()</f>
        <v>0</v>
      </c>
      <c r="G3" s="7" t="n">
        <v>1</v>
      </c>
      <c r="H3" s="4" t="n">
        <v>0.0099009900990099</v>
      </c>
      <c r="I3" s="4" t="n">
        <v>0.033003300330033</v>
      </c>
      <c r="J3" s="6" t="b">
        <f aca="false">FALSE()</f>
        <v>0</v>
      </c>
      <c r="K3" s="8" t="s">
        <v>218</v>
      </c>
      <c r="L3" s="8" t="s">
        <v>219</v>
      </c>
    </row>
    <row r="4" customFormat="false" ht="61.15" hidden="false" customHeight="false" outlineLevel="0" collapsed="false">
      <c r="A4" s="2" t="n">
        <v>1</v>
      </c>
      <c r="B4" s="2" t="s">
        <v>220</v>
      </c>
      <c r="C4" s="9" t="s">
        <v>16</v>
      </c>
      <c r="D4" s="4" t="n">
        <v>-0.9667839</v>
      </c>
      <c r="E4" s="5" t="n">
        <v>9.36135182037772E-043</v>
      </c>
      <c r="F4" s="6" t="b">
        <f aca="false">FALSE()</f>
        <v>0</v>
      </c>
      <c r="G4" s="7" t="n">
        <v>1</v>
      </c>
      <c r="H4" s="4" t="n">
        <v>0.0297029702970297</v>
      </c>
      <c r="I4" s="4" t="n">
        <v>0.034944670937682</v>
      </c>
      <c r="J4" s="6" t="b">
        <f aca="false">TRUE()</f>
        <v>1</v>
      </c>
      <c r="K4" s="8" t="s">
        <v>221</v>
      </c>
      <c r="L4" s="8" t="s">
        <v>222</v>
      </c>
    </row>
    <row r="5" customFormat="false" ht="31.3" hidden="false" customHeight="false" outlineLevel="0" collapsed="false">
      <c r="A5" s="2" t="n">
        <v>4</v>
      </c>
      <c r="B5" s="2" t="s">
        <v>187</v>
      </c>
      <c r="C5" s="9" t="s">
        <v>16</v>
      </c>
      <c r="D5" s="4" t="n">
        <v>0.4215121</v>
      </c>
      <c r="E5" s="5" t="n">
        <v>4.83724453942295E-015</v>
      </c>
      <c r="F5" s="6" t="b">
        <f aca="false">FALSE()</f>
        <v>0</v>
      </c>
      <c r="G5" s="7" t="n">
        <v>1</v>
      </c>
      <c r="H5" s="4" t="n">
        <v>0.0198019801980198</v>
      </c>
      <c r="I5" s="4" t="n">
        <v>0.033003300330033</v>
      </c>
      <c r="J5" s="6" t="b">
        <f aca="false">TRUE()</f>
        <v>1</v>
      </c>
      <c r="K5" s="8" t="s">
        <v>188</v>
      </c>
      <c r="L5" s="8" t="s">
        <v>189</v>
      </c>
    </row>
    <row r="6" customFormat="false" ht="46.25" hidden="false" customHeight="false" outlineLevel="0" collapsed="false">
      <c r="A6" s="2" t="n">
        <v>16</v>
      </c>
      <c r="B6" s="2" t="s">
        <v>19</v>
      </c>
      <c r="C6" s="9" t="s">
        <v>16</v>
      </c>
      <c r="D6" s="4" t="n">
        <v>1.0191646</v>
      </c>
      <c r="E6" s="5" t="n">
        <v>6.49994579358789E-016</v>
      </c>
      <c r="F6" s="6" t="b">
        <f aca="false">FALSE()</f>
        <v>0</v>
      </c>
      <c r="G6" s="7" t="n">
        <v>0.2</v>
      </c>
      <c r="H6" s="4" t="n">
        <v>0.0099009900990099</v>
      </c>
      <c r="I6" s="4" t="n">
        <v>0.033003300330033</v>
      </c>
      <c r="J6" s="6" t="b">
        <f aca="false">TRUE()</f>
        <v>1</v>
      </c>
      <c r="K6" s="8" t="s">
        <v>20</v>
      </c>
      <c r="L6" s="8" t="s">
        <v>21</v>
      </c>
    </row>
    <row r="7" customFormat="false" ht="31.3" hidden="false" customHeight="false" outlineLevel="0" collapsed="false">
      <c r="A7" s="2" t="n">
        <v>20</v>
      </c>
      <c r="B7" s="2" t="s">
        <v>223</v>
      </c>
      <c r="C7" s="9" t="s">
        <v>16</v>
      </c>
      <c r="D7" s="4" t="n">
        <v>-0.21548185</v>
      </c>
      <c r="E7" s="5" t="n">
        <v>0.0551804978000452</v>
      </c>
      <c r="F7" s="6" t="b">
        <f aca="false">TRUE()</f>
        <v>1</v>
      </c>
      <c r="G7" s="7" t="n">
        <v>0.2</v>
      </c>
      <c r="H7" s="4" t="n">
        <v>0.0495049504950495</v>
      </c>
      <c r="I7" s="4" t="n">
        <v>0.0495049504950495</v>
      </c>
      <c r="J7" s="6" t="b">
        <f aca="false">FALSE()</f>
        <v>0</v>
      </c>
      <c r="K7" s="8" t="s">
        <v>224</v>
      </c>
      <c r="L7" s="8" t="s">
        <v>225</v>
      </c>
    </row>
    <row r="8" customFormat="false" ht="46.25" hidden="false" customHeight="false" outlineLevel="0" collapsed="false">
      <c r="A8" s="2" t="n">
        <v>6</v>
      </c>
      <c r="B8" s="2" t="s">
        <v>226</v>
      </c>
      <c r="C8" s="9" t="s">
        <v>16</v>
      </c>
      <c r="D8" s="4" t="n">
        <v>-0.18427704</v>
      </c>
      <c r="E8" s="5" t="n">
        <v>8.22726469922774E-007</v>
      </c>
      <c r="F8" s="6" t="b">
        <f aca="false">FALSE()</f>
        <v>0</v>
      </c>
      <c r="G8" s="7" t="n">
        <v>1</v>
      </c>
      <c r="H8" s="4" t="n">
        <v>0.0297029702970297</v>
      </c>
      <c r="I8" s="4" t="n">
        <v>0.034944670937682</v>
      </c>
      <c r="J8" s="6" t="b">
        <f aca="false">FALSE()</f>
        <v>0</v>
      </c>
      <c r="K8" s="8" t="s">
        <v>227</v>
      </c>
      <c r="L8" s="8" t="s">
        <v>228</v>
      </c>
    </row>
    <row r="9" customFormat="false" ht="31.3" hidden="false" customHeight="false" outlineLevel="0" collapsed="false">
      <c r="A9" s="2" t="n">
        <v>2</v>
      </c>
      <c r="B9" s="2" t="s">
        <v>229</v>
      </c>
      <c r="C9" s="10" t="s">
        <v>41</v>
      </c>
      <c r="D9" s="4" t="n">
        <v>-0.5098326</v>
      </c>
      <c r="E9" s="5" t="n">
        <v>1.07731847805959E-016</v>
      </c>
      <c r="F9" s="6" t="b">
        <f aca="false">FALSE()</f>
        <v>0</v>
      </c>
      <c r="G9" s="7" t="n">
        <v>0.4</v>
      </c>
      <c r="H9" s="4" t="n">
        <v>0.0297029702970297</v>
      </c>
      <c r="I9" s="4" t="n">
        <v>0.034944670937682</v>
      </c>
      <c r="J9" s="6" t="b">
        <f aca="false">TRUE()</f>
        <v>1</v>
      </c>
      <c r="K9" s="8" t="s">
        <v>230</v>
      </c>
      <c r="L9" s="8" t="s">
        <v>231</v>
      </c>
    </row>
    <row r="10" customFormat="false" ht="31.3" hidden="false" customHeight="false" outlineLevel="0" collapsed="false">
      <c r="A10" s="2" t="n">
        <v>10</v>
      </c>
      <c r="B10" s="2" t="s">
        <v>232</v>
      </c>
      <c r="C10" s="10" t="s">
        <v>41</v>
      </c>
      <c r="D10" s="4" t="n">
        <v>-0.57161295</v>
      </c>
      <c r="E10" s="5" t="n">
        <v>9.23012540746797E-017</v>
      </c>
      <c r="F10" s="6" t="b">
        <f aca="false">FALSE()</f>
        <v>0</v>
      </c>
      <c r="G10" s="7" t="n">
        <v>1</v>
      </c>
      <c r="H10" s="4" t="n">
        <v>0.0495049504950495</v>
      </c>
      <c r="I10" s="4" t="n">
        <v>0.0495049504950495</v>
      </c>
      <c r="J10" s="6" t="b">
        <f aca="false">TRUE()</f>
        <v>1</v>
      </c>
      <c r="K10" s="8" t="s">
        <v>233</v>
      </c>
      <c r="L10" s="8" t="s">
        <v>234</v>
      </c>
    </row>
    <row r="11" customFormat="false" ht="46.25" hidden="false" customHeight="false" outlineLevel="0" collapsed="false">
      <c r="A11" s="2" t="n">
        <v>8</v>
      </c>
      <c r="B11" s="2" t="s">
        <v>53</v>
      </c>
      <c r="C11" s="10" t="s">
        <v>41</v>
      </c>
      <c r="D11" s="4" t="n">
        <v>0.27939695</v>
      </c>
      <c r="E11" s="5" t="n">
        <v>0.0023435213493411</v>
      </c>
      <c r="F11" s="6" t="b">
        <f aca="false">FALSE()</f>
        <v>0</v>
      </c>
      <c r="G11" s="7" t="n">
        <v>1</v>
      </c>
      <c r="H11" s="4" t="n">
        <v>0.0099009900990099</v>
      </c>
      <c r="I11" s="4" t="n">
        <v>0.033003300330033</v>
      </c>
      <c r="J11" s="6" t="b">
        <f aca="false">FALSE()</f>
        <v>0</v>
      </c>
      <c r="K11" s="8" t="s">
        <v>54</v>
      </c>
      <c r="L11" s="8" t="s">
        <v>55</v>
      </c>
    </row>
    <row r="12" customFormat="false" ht="46.25" hidden="false" customHeight="false" outlineLevel="0" collapsed="false">
      <c r="A12" s="2" t="n">
        <v>11</v>
      </c>
      <c r="B12" s="2" t="s">
        <v>56</v>
      </c>
      <c r="C12" s="10" t="s">
        <v>41</v>
      </c>
      <c r="D12" s="4" t="n">
        <v>-0.21095042</v>
      </c>
      <c r="E12" s="5" t="n">
        <v>0.0277337175238447</v>
      </c>
      <c r="F12" s="6" t="b">
        <f aca="false">FALSE()</f>
        <v>0</v>
      </c>
      <c r="G12" s="7" t="n">
        <v>0.6</v>
      </c>
      <c r="H12" s="4" t="n">
        <v>0.0099009900990099</v>
      </c>
      <c r="I12" s="4" t="n">
        <v>0.033003300330033</v>
      </c>
      <c r="J12" s="6" t="b">
        <f aca="false">FALSE()</f>
        <v>0</v>
      </c>
      <c r="K12" s="8" t="s">
        <v>54</v>
      </c>
      <c r="L12" s="8" t="s">
        <v>55</v>
      </c>
    </row>
    <row r="13" customFormat="false" ht="31.3" hidden="false" customHeight="false" outlineLevel="0" collapsed="false">
      <c r="A13" s="2" t="n">
        <v>3</v>
      </c>
      <c r="B13" s="2" t="s">
        <v>205</v>
      </c>
      <c r="C13" s="11" t="s">
        <v>67</v>
      </c>
      <c r="D13" s="4" t="n">
        <v>-0.55113417</v>
      </c>
      <c r="E13" s="5" t="n">
        <v>4.02641175924165E-022</v>
      </c>
      <c r="F13" s="6" t="b">
        <f aca="false">FALSE()</f>
        <v>0</v>
      </c>
      <c r="G13" s="7" t="n">
        <v>1</v>
      </c>
      <c r="H13" s="4" t="n">
        <v>0.0198019801980198</v>
      </c>
      <c r="I13" s="4" t="n">
        <v>0.033003300330033</v>
      </c>
      <c r="J13" s="6" t="b">
        <f aca="false">TRUE()</f>
        <v>1</v>
      </c>
      <c r="K13" s="8" t="s">
        <v>68</v>
      </c>
      <c r="L13" s="8" t="s">
        <v>172</v>
      </c>
    </row>
    <row r="14" customFormat="false" ht="31.3" hidden="false" customHeight="false" outlineLevel="0" collapsed="false">
      <c r="A14" s="2" t="n">
        <v>7</v>
      </c>
      <c r="B14" s="2" t="s">
        <v>235</v>
      </c>
      <c r="C14" s="11" t="s">
        <v>67</v>
      </c>
      <c r="D14" s="4" t="n">
        <v>0.19315296</v>
      </c>
      <c r="E14" s="5" t="n">
        <v>0.0268135625233032</v>
      </c>
      <c r="F14" s="6" t="b">
        <f aca="false">FALSE()</f>
        <v>0</v>
      </c>
      <c r="G14" s="7" t="n">
        <v>1</v>
      </c>
      <c r="H14" s="4" t="n">
        <v>0.0198019801980198</v>
      </c>
      <c r="I14" s="4" t="n">
        <v>0.033003300330033</v>
      </c>
      <c r="J14" s="6" t="b">
        <f aca="false">FALSE()</f>
        <v>0</v>
      </c>
      <c r="K14" s="8" t="s">
        <v>68</v>
      </c>
      <c r="L14" s="8" t="s">
        <v>172</v>
      </c>
    </row>
    <row r="15" customFormat="false" ht="31.3" hidden="false" customHeight="false" outlineLevel="0" collapsed="false">
      <c r="A15" s="2" t="n">
        <v>12</v>
      </c>
      <c r="B15" s="2" t="s">
        <v>236</v>
      </c>
      <c r="C15" s="11" t="s">
        <v>67</v>
      </c>
      <c r="D15" s="4" t="n">
        <v>0.10882253</v>
      </c>
      <c r="E15" s="5" t="n">
        <v>0.180242947378502</v>
      </c>
      <c r="F15" s="6" t="b">
        <f aca="false">TRUE()</f>
        <v>1</v>
      </c>
      <c r="G15" s="7" t="n">
        <v>0.5</v>
      </c>
      <c r="H15" s="4" t="n">
        <v>0.0099009900990099</v>
      </c>
      <c r="I15" s="4" t="n">
        <v>0.033003300330033</v>
      </c>
      <c r="J15" s="6" t="b">
        <f aca="false">FALSE()</f>
        <v>0</v>
      </c>
      <c r="K15" s="8" t="s">
        <v>237</v>
      </c>
      <c r="L15" s="8" t="s">
        <v>238</v>
      </c>
    </row>
    <row r="16" customFormat="false" ht="31.3" hidden="false" customHeight="false" outlineLevel="0" collapsed="false">
      <c r="A16" s="2" t="n">
        <v>13</v>
      </c>
      <c r="B16" s="2" t="s">
        <v>138</v>
      </c>
      <c r="C16" s="11" t="s">
        <v>67</v>
      </c>
      <c r="D16" s="4" t="n">
        <v>0.4006987</v>
      </c>
      <c r="E16" s="5" t="n">
        <v>3.47369238228659E-005</v>
      </c>
      <c r="F16" s="6" t="b">
        <f aca="false">FALSE()</f>
        <v>0</v>
      </c>
      <c r="G16" s="7" t="n">
        <v>0.8</v>
      </c>
      <c r="H16" s="4" t="n">
        <v>0.0099009900990099</v>
      </c>
      <c r="I16" s="4" t="n">
        <v>0.033003300330033</v>
      </c>
      <c r="J16" s="6" t="b">
        <f aca="false">FALSE()</f>
        <v>0</v>
      </c>
      <c r="K16" s="8" t="s">
        <v>68</v>
      </c>
      <c r="L16" s="8" t="s">
        <v>139</v>
      </c>
    </row>
    <row r="17" customFormat="false" ht="31.3" hidden="false" customHeight="false" outlineLevel="0" collapsed="false">
      <c r="A17" s="2" t="n">
        <v>14</v>
      </c>
      <c r="B17" s="2" t="s">
        <v>239</v>
      </c>
      <c r="C17" s="11" t="s">
        <v>67</v>
      </c>
      <c r="D17" s="4" t="n">
        <v>0.67514485</v>
      </c>
      <c r="E17" s="5" t="n">
        <v>2.69820224256903E-017</v>
      </c>
      <c r="F17" s="6" t="b">
        <f aca="false">FALSE()</f>
        <v>0</v>
      </c>
      <c r="G17" s="7" t="n">
        <v>1</v>
      </c>
      <c r="H17" s="4" t="n">
        <v>0.0198019801980198</v>
      </c>
      <c r="I17" s="4" t="n">
        <v>0.033003300330033</v>
      </c>
      <c r="J17" s="6" t="b">
        <f aca="false">TRUE()</f>
        <v>1</v>
      </c>
      <c r="K17" s="8" t="s">
        <v>68</v>
      </c>
      <c r="L17" s="8" t="s">
        <v>240</v>
      </c>
    </row>
    <row r="18" customFormat="false" ht="31.3" hidden="false" customHeight="false" outlineLevel="0" collapsed="false">
      <c r="A18" s="2" t="n">
        <v>15</v>
      </c>
      <c r="B18" s="2" t="s">
        <v>241</v>
      </c>
      <c r="C18" s="11" t="s">
        <v>67</v>
      </c>
      <c r="D18" s="4" t="n">
        <v>-0.2360721</v>
      </c>
      <c r="E18" s="5" t="n">
        <v>0.0004860858543518</v>
      </c>
      <c r="F18" s="6" t="b">
        <f aca="false">FALSE()</f>
        <v>0</v>
      </c>
      <c r="G18" s="7" t="n">
        <v>0.5</v>
      </c>
      <c r="H18" s="4" t="n">
        <v>0.0198019801980198</v>
      </c>
      <c r="I18" s="4" t="n">
        <v>0.033003300330033</v>
      </c>
      <c r="J18" s="6" t="b">
        <f aca="false">FALSE()</f>
        <v>0</v>
      </c>
      <c r="K18" s="8" t="s">
        <v>68</v>
      </c>
      <c r="L18" s="8" t="s">
        <v>242</v>
      </c>
    </row>
    <row r="19" customFormat="false" ht="31.3" hidden="false" customHeight="false" outlineLevel="0" collapsed="false">
      <c r="A19" s="2" t="n">
        <v>17</v>
      </c>
      <c r="B19" s="2" t="s">
        <v>243</v>
      </c>
      <c r="C19" s="11" t="s">
        <v>67</v>
      </c>
      <c r="D19" s="4" t="n">
        <v>-0.5447037</v>
      </c>
      <c r="E19" s="5" t="n">
        <v>2.95602464515816E-010</v>
      </c>
      <c r="F19" s="6" t="b">
        <f aca="false">FALSE()</f>
        <v>0</v>
      </c>
      <c r="G19" s="7" t="n">
        <v>0.7</v>
      </c>
      <c r="H19" s="4" t="n">
        <v>0.0495049504950495</v>
      </c>
      <c r="I19" s="4" t="n">
        <v>0.0495049504950495</v>
      </c>
      <c r="J19" s="6" t="b">
        <f aca="false">FALSE()</f>
        <v>0</v>
      </c>
      <c r="K19" s="8" t="s">
        <v>68</v>
      </c>
      <c r="L19" s="8" t="s">
        <v>112</v>
      </c>
    </row>
    <row r="20" customFormat="false" ht="31.3" hidden="false" customHeight="false" outlineLevel="0" collapsed="false">
      <c r="A20" s="2" t="n">
        <v>18</v>
      </c>
      <c r="B20" s="2" t="s">
        <v>244</v>
      </c>
      <c r="C20" s="11" t="s">
        <v>67</v>
      </c>
      <c r="D20" s="4" t="n">
        <v>-0.6780916</v>
      </c>
      <c r="E20" s="5" t="n">
        <v>4.53761216016273E-021</v>
      </c>
      <c r="F20" s="6" t="b">
        <f aca="false">FALSE()</f>
        <v>0</v>
      </c>
      <c r="G20" s="7" t="n">
        <v>0.9</v>
      </c>
      <c r="H20" s="4" t="n">
        <v>0.0297029702970297</v>
      </c>
      <c r="I20" s="4" t="n">
        <v>0.034944670937682</v>
      </c>
      <c r="J20" s="6" t="b">
        <f aca="false">TRUE()</f>
        <v>1</v>
      </c>
      <c r="K20" s="8" t="s">
        <v>68</v>
      </c>
      <c r="L20" s="8" t="s">
        <v>245</v>
      </c>
    </row>
    <row r="21" customFormat="false" ht="31.3" hidden="false" customHeight="false" outlineLevel="0" collapsed="false">
      <c r="A21" s="2" t="n">
        <v>19</v>
      </c>
      <c r="B21" s="2" t="s">
        <v>246</v>
      </c>
      <c r="C21" s="11" t="s">
        <v>67</v>
      </c>
      <c r="D21" s="4" t="n">
        <v>0.023340574</v>
      </c>
      <c r="E21" s="5" t="n">
        <v>0.799577543885865</v>
      </c>
      <c r="F21" s="6" t="b">
        <f aca="false">TRUE()</f>
        <v>1</v>
      </c>
      <c r="G21" s="7" t="n">
        <v>0.4</v>
      </c>
      <c r="H21" s="4" t="n">
        <v>0.0297029702970297</v>
      </c>
      <c r="I21" s="4" t="n">
        <v>0.034944670937682</v>
      </c>
      <c r="J21" s="6" t="b">
        <f aca="false">FALSE()</f>
        <v>0</v>
      </c>
      <c r="K21" s="8" t="s">
        <v>68</v>
      </c>
      <c r="L21" s="8" t="s">
        <v>247</v>
      </c>
    </row>
  </sheetData>
  <autoFilter ref="A1:L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34" activePane="bottomLeft" state="frozen"/>
      <selection pane="topLeft" activeCell="B1" activeCellId="0" sqref="B1"/>
      <selection pane="bottomLeft" activeCell="C41" activeCellId="0" sqref="C4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2" min="2" style="0" width="110"/>
    <col collapsed="false" customWidth="true" hidden="false" outlineLevel="0" max="3" min="3" style="0" width="60"/>
  </cols>
  <sheetData>
    <row r="1" customFormat="false" ht="15" hidden="false" customHeight="false" outlineLevel="0" collapsed="false">
      <c r="A1" s="1" t="s">
        <v>248</v>
      </c>
      <c r="B1" s="1" t="s">
        <v>249</v>
      </c>
      <c r="C1" s="1" t="s">
        <v>250</v>
      </c>
    </row>
    <row r="2" customFormat="false" ht="31.3" hidden="false" customHeight="false" outlineLevel="0" collapsed="false">
      <c r="A2" s="12" t="s">
        <v>251</v>
      </c>
      <c r="B2" s="13" t="s">
        <v>252</v>
      </c>
      <c r="C2" s="14" t="s">
        <v>253</v>
      </c>
    </row>
    <row r="3" customFormat="false" ht="31.3" hidden="false" customHeight="false" outlineLevel="0" collapsed="false">
      <c r="A3" s="12" t="s">
        <v>254</v>
      </c>
      <c r="B3" s="13" t="s">
        <v>255</v>
      </c>
      <c r="C3" s="14" t="s">
        <v>256</v>
      </c>
    </row>
    <row r="4" customFormat="false" ht="31.3" hidden="false" customHeight="false" outlineLevel="0" collapsed="false">
      <c r="A4" s="12" t="s">
        <v>257</v>
      </c>
      <c r="B4" s="13" t="s">
        <v>258</v>
      </c>
      <c r="C4" s="14" t="s">
        <v>259</v>
      </c>
    </row>
    <row r="5" customFormat="false" ht="31.3" hidden="false" customHeight="false" outlineLevel="0" collapsed="false">
      <c r="A5" s="12" t="s">
        <v>260</v>
      </c>
      <c r="B5" s="13" t="s">
        <v>261</v>
      </c>
      <c r="C5" s="14" t="s">
        <v>262</v>
      </c>
    </row>
    <row r="6" customFormat="false" ht="31.3" hidden="false" customHeight="false" outlineLevel="0" collapsed="false">
      <c r="A6" s="12" t="s">
        <v>263</v>
      </c>
      <c r="B6" s="13" t="s">
        <v>264</v>
      </c>
      <c r="C6" s="12" t="s">
        <v>265</v>
      </c>
    </row>
    <row r="7" customFormat="false" ht="31.3" hidden="false" customHeight="false" outlineLevel="0" collapsed="false">
      <c r="A7" s="12" t="s">
        <v>266</v>
      </c>
      <c r="B7" s="13" t="s">
        <v>267</v>
      </c>
      <c r="C7" s="14" t="s">
        <v>268</v>
      </c>
    </row>
    <row r="8" customFormat="false" ht="31.3" hidden="false" customHeight="false" outlineLevel="0" collapsed="false">
      <c r="A8" s="12" t="s">
        <v>269</v>
      </c>
      <c r="B8" s="13" t="s">
        <v>270</v>
      </c>
      <c r="C8" s="14" t="s">
        <v>271</v>
      </c>
    </row>
    <row r="9" customFormat="false" ht="31.3" hidden="false" customHeight="false" outlineLevel="0" collapsed="false">
      <c r="A9" s="12" t="s">
        <v>272</v>
      </c>
      <c r="B9" s="13" t="s">
        <v>273</v>
      </c>
      <c r="C9" s="14" t="s">
        <v>274</v>
      </c>
    </row>
    <row r="10" customFormat="false" ht="31.3" hidden="false" customHeight="false" outlineLevel="0" collapsed="false">
      <c r="A10" s="12" t="s">
        <v>275</v>
      </c>
      <c r="B10" s="13" t="s">
        <v>276</v>
      </c>
      <c r="C10" s="14" t="s">
        <v>277</v>
      </c>
    </row>
    <row r="11" customFormat="false" ht="31.3" hidden="false" customHeight="false" outlineLevel="0" collapsed="false">
      <c r="A11" s="12" t="s">
        <v>278</v>
      </c>
      <c r="B11" s="13" t="s">
        <v>279</v>
      </c>
      <c r="C11" s="14" t="s">
        <v>280</v>
      </c>
    </row>
    <row r="12" customFormat="false" ht="31.3" hidden="false" customHeight="false" outlineLevel="0" collapsed="false">
      <c r="A12" s="12" t="s">
        <v>281</v>
      </c>
      <c r="B12" s="13" t="s">
        <v>282</v>
      </c>
      <c r="C12" s="14" t="s">
        <v>283</v>
      </c>
    </row>
    <row r="13" customFormat="false" ht="31.3" hidden="false" customHeight="false" outlineLevel="0" collapsed="false">
      <c r="A13" s="12" t="s">
        <v>29</v>
      </c>
      <c r="B13" s="13" t="s">
        <v>284</v>
      </c>
      <c r="C13" s="14" t="s">
        <v>285</v>
      </c>
    </row>
    <row r="14" customFormat="false" ht="31.3" hidden="false" customHeight="false" outlineLevel="0" collapsed="false">
      <c r="A14" s="12" t="s">
        <v>286</v>
      </c>
      <c r="B14" s="13" t="s">
        <v>287</v>
      </c>
      <c r="C14" s="14" t="s">
        <v>288</v>
      </c>
    </row>
    <row r="15" customFormat="false" ht="31.3" hidden="false" customHeight="false" outlineLevel="0" collapsed="false">
      <c r="A15" s="12" t="s">
        <v>289</v>
      </c>
      <c r="B15" s="13" t="s">
        <v>290</v>
      </c>
      <c r="C15" s="14" t="s">
        <v>291</v>
      </c>
    </row>
    <row r="16" customFormat="false" ht="31.3" hidden="false" customHeight="false" outlineLevel="0" collapsed="false">
      <c r="A16" s="12" t="s">
        <v>292</v>
      </c>
      <c r="B16" s="13" t="s">
        <v>293</v>
      </c>
      <c r="C16" s="14" t="s">
        <v>294</v>
      </c>
    </row>
    <row r="17" customFormat="false" ht="31.3" hidden="false" customHeight="false" outlineLevel="0" collapsed="false">
      <c r="A17" s="12" t="s">
        <v>295</v>
      </c>
      <c r="B17" s="13" t="s">
        <v>296</v>
      </c>
      <c r="C17" s="14" t="s">
        <v>297</v>
      </c>
    </row>
    <row r="18" customFormat="false" ht="31.3" hidden="false" customHeight="false" outlineLevel="0" collapsed="false">
      <c r="A18" s="12" t="s">
        <v>298</v>
      </c>
      <c r="B18" s="13" t="s">
        <v>299</v>
      </c>
      <c r="C18" s="14" t="s">
        <v>300</v>
      </c>
    </row>
    <row r="19" customFormat="false" ht="31.3" hidden="false" customHeight="false" outlineLevel="0" collapsed="false">
      <c r="A19" s="12" t="s">
        <v>301</v>
      </c>
      <c r="B19" s="13" t="s">
        <v>302</v>
      </c>
      <c r="C19" s="14" t="s">
        <v>303</v>
      </c>
    </row>
    <row r="20" customFormat="false" ht="31.3" hidden="false" customHeight="false" outlineLevel="0" collapsed="false">
      <c r="A20" s="12" t="s">
        <v>304</v>
      </c>
      <c r="B20" s="13" t="s">
        <v>305</v>
      </c>
      <c r="C20" s="14" t="s">
        <v>306</v>
      </c>
    </row>
    <row r="21" customFormat="false" ht="31.3" hidden="false" customHeight="false" outlineLevel="0" collapsed="false">
      <c r="A21" s="12" t="s">
        <v>307</v>
      </c>
      <c r="B21" s="13" t="s">
        <v>308</v>
      </c>
      <c r="C21" s="14" t="s">
        <v>309</v>
      </c>
    </row>
    <row r="22" customFormat="false" ht="31.3" hidden="false" customHeight="false" outlineLevel="0" collapsed="false">
      <c r="A22" s="12" t="s">
        <v>310</v>
      </c>
      <c r="B22" s="13" t="s">
        <v>311</v>
      </c>
      <c r="C22" s="14" t="s">
        <v>312</v>
      </c>
    </row>
    <row r="23" customFormat="false" ht="31.3" hidden="false" customHeight="false" outlineLevel="0" collapsed="false">
      <c r="A23" s="12" t="s">
        <v>313</v>
      </c>
      <c r="B23" s="13" t="s">
        <v>314</v>
      </c>
      <c r="C23" s="14" t="s">
        <v>315</v>
      </c>
    </row>
    <row r="24" customFormat="false" ht="31.3" hidden="false" customHeight="false" outlineLevel="0" collapsed="false">
      <c r="A24" s="12" t="s">
        <v>316</v>
      </c>
      <c r="B24" s="13" t="s">
        <v>317</v>
      </c>
      <c r="C24" s="14" t="s">
        <v>318</v>
      </c>
    </row>
    <row r="25" customFormat="false" ht="31.3" hidden="false" customHeight="false" outlineLevel="0" collapsed="false">
      <c r="A25" s="12" t="s">
        <v>319</v>
      </c>
      <c r="B25" s="13" t="s">
        <v>320</v>
      </c>
      <c r="C25" s="14" t="s">
        <v>321</v>
      </c>
    </row>
    <row r="26" customFormat="false" ht="31.3" hidden="false" customHeight="false" outlineLevel="0" collapsed="false">
      <c r="A26" s="12" t="s">
        <v>185</v>
      </c>
      <c r="B26" s="13" t="s">
        <v>322</v>
      </c>
      <c r="C26" s="14" t="s">
        <v>323</v>
      </c>
    </row>
    <row r="27" customFormat="false" ht="31.3" hidden="false" customHeight="false" outlineLevel="0" collapsed="false">
      <c r="A27" s="12" t="s">
        <v>324</v>
      </c>
      <c r="B27" s="13" t="s">
        <v>325</v>
      </c>
      <c r="C27" s="14" t="s">
        <v>326</v>
      </c>
    </row>
    <row r="28" customFormat="false" ht="31.3" hidden="false" customHeight="false" outlineLevel="0" collapsed="false">
      <c r="A28" s="12" t="s">
        <v>327</v>
      </c>
      <c r="B28" s="13" t="s">
        <v>328</v>
      </c>
      <c r="C28" s="14" t="s">
        <v>329</v>
      </c>
    </row>
    <row r="29" customFormat="false" ht="31.3" hidden="false" customHeight="false" outlineLevel="0" collapsed="false">
      <c r="A29" s="12" t="s">
        <v>330</v>
      </c>
      <c r="B29" s="13" t="s">
        <v>331</v>
      </c>
      <c r="C29" s="14" t="s">
        <v>332</v>
      </c>
    </row>
    <row r="30" customFormat="false" ht="16.4" hidden="false" customHeight="false" outlineLevel="0" collapsed="false">
      <c r="A30" s="12" t="s">
        <v>197</v>
      </c>
      <c r="B30" s="13" t="s">
        <v>333</v>
      </c>
      <c r="C30" s="12" t="s">
        <v>334</v>
      </c>
    </row>
    <row r="31" customFormat="false" ht="31.3" hidden="false" customHeight="false" outlineLevel="0" collapsed="false">
      <c r="A31" s="12" t="s">
        <v>191</v>
      </c>
      <c r="B31" s="13" t="s">
        <v>335</v>
      </c>
      <c r="C31" s="14" t="s">
        <v>336</v>
      </c>
    </row>
    <row r="32" customFormat="false" ht="31.3" hidden="false" customHeight="false" outlineLevel="0" collapsed="false">
      <c r="A32" s="12" t="s">
        <v>125</v>
      </c>
      <c r="B32" s="13" t="s">
        <v>337</v>
      </c>
      <c r="C32" s="14" t="s">
        <v>338</v>
      </c>
    </row>
    <row r="33" customFormat="false" ht="31.3" hidden="false" customHeight="false" outlineLevel="0" collapsed="false">
      <c r="A33" s="12" t="s">
        <v>339</v>
      </c>
      <c r="B33" s="13" t="s">
        <v>340</v>
      </c>
      <c r="C33" s="14" t="s">
        <v>341</v>
      </c>
    </row>
    <row r="34" customFormat="false" ht="31.3" hidden="false" customHeight="false" outlineLevel="0" collapsed="false">
      <c r="A34" s="12" t="s">
        <v>119</v>
      </c>
      <c r="B34" s="13" t="s">
        <v>342</v>
      </c>
      <c r="C34" s="14" t="s">
        <v>343</v>
      </c>
    </row>
    <row r="35" customFormat="false" ht="31.3" hidden="false" customHeight="false" outlineLevel="0" collapsed="false">
      <c r="A35" s="12" t="s">
        <v>155</v>
      </c>
      <c r="B35" s="13" t="s">
        <v>344</v>
      </c>
      <c r="C35" s="14" t="s">
        <v>345</v>
      </c>
    </row>
    <row r="36" customFormat="false" ht="31.3" hidden="false" customHeight="false" outlineLevel="0" collapsed="false">
      <c r="A36" s="12" t="s">
        <v>188</v>
      </c>
      <c r="B36" s="13" t="s">
        <v>346</v>
      </c>
      <c r="C36" s="14" t="s">
        <v>347</v>
      </c>
    </row>
    <row r="37" customFormat="false" ht="31.3" hidden="false" customHeight="false" outlineLevel="0" collapsed="false">
      <c r="A37" s="12" t="s">
        <v>348</v>
      </c>
      <c r="B37" s="13" t="s">
        <v>349</v>
      </c>
      <c r="C37" s="14" t="s">
        <v>350</v>
      </c>
    </row>
    <row r="38" customFormat="false" ht="31.3" hidden="false" customHeight="false" outlineLevel="0" collapsed="false">
      <c r="A38" s="12" t="s">
        <v>351</v>
      </c>
      <c r="B38" s="13" t="s">
        <v>352</v>
      </c>
      <c r="C38" s="14" t="s">
        <v>353</v>
      </c>
    </row>
    <row r="39" customFormat="false" ht="31.3" hidden="false" customHeight="false" outlineLevel="0" collapsed="false">
      <c r="A39" s="12" t="s">
        <v>354</v>
      </c>
      <c r="B39" s="13" t="s">
        <v>355</v>
      </c>
      <c r="C39" s="14" t="s">
        <v>356</v>
      </c>
    </row>
    <row r="40" customFormat="false" ht="31.3" hidden="false" customHeight="false" outlineLevel="0" collapsed="false">
      <c r="A40" s="12" t="s">
        <v>357</v>
      </c>
      <c r="B40" s="13" t="s">
        <v>358</v>
      </c>
      <c r="C40" s="14" t="s">
        <v>359</v>
      </c>
    </row>
    <row r="41" customFormat="false" ht="31.3" hidden="false" customHeight="false" outlineLevel="0" collapsed="false">
      <c r="A41" s="12" t="s">
        <v>360</v>
      </c>
      <c r="B41" s="13" t="s">
        <v>361</v>
      </c>
      <c r="C41" s="12" t="s">
        <v>362</v>
      </c>
    </row>
    <row r="42" customFormat="false" ht="31.3" hidden="false" customHeight="false" outlineLevel="0" collapsed="false">
      <c r="A42" s="12" t="s">
        <v>35</v>
      </c>
      <c r="B42" s="13" t="s">
        <v>363</v>
      </c>
      <c r="C42" s="14" t="s">
        <v>364</v>
      </c>
    </row>
    <row r="43" customFormat="false" ht="31.3" hidden="false" customHeight="false" outlineLevel="0" collapsed="false">
      <c r="A43" s="12" t="s">
        <v>365</v>
      </c>
      <c r="B43" s="13" t="s">
        <v>366</v>
      </c>
      <c r="C43" s="14" t="s">
        <v>367</v>
      </c>
    </row>
    <row r="44" customFormat="false" ht="31.3" hidden="false" customHeight="false" outlineLevel="0" collapsed="false">
      <c r="A44" s="12" t="s">
        <v>368</v>
      </c>
      <c r="B44" s="13" t="s">
        <v>369</v>
      </c>
      <c r="C44" s="14" t="s">
        <v>370</v>
      </c>
    </row>
    <row r="45" customFormat="false" ht="31.3" hidden="false" customHeight="false" outlineLevel="0" collapsed="false">
      <c r="A45" s="12" t="s">
        <v>371</v>
      </c>
      <c r="B45" s="13" t="s">
        <v>372</v>
      </c>
      <c r="C45" s="14" t="s">
        <v>373</v>
      </c>
    </row>
    <row r="46" customFormat="false" ht="16.4" hidden="false" customHeight="false" outlineLevel="0" collapsed="false">
      <c r="A46" s="12" t="s">
        <v>374</v>
      </c>
      <c r="B46" s="13" t="s">
        <v>375</v>
      </c>
      <c r="C46" s="14" t="s">
        <v>376</v>
      </c>
    </row>
    <row r="47" customFormat="false" ht="31.3" hidden="false" customHeight="false" outlineLevel="0" collapsed="false">
      <c r="A47" s="12" t="s">
        <v>377</v>
      </c>
      <c r="B47" s="13" t="s">
        <v>378</v>
      </c>
      <c r="C47" s="14" t="s">
        <v>379</v>
      </c>
    </row>
    <row r="48" customFormat="false" ht="31.3" hidden="false" customHeight="false" outlineLevel="0" collapsed="false">
      <c r="A48" s="12" t="s">
        <v>380</v>
      </c>
      <c r="B48" s="13" t="s">
        <v>381</v>
      </c>
      <c r="C48" s="14" t="s">
        <v>382</v>
      </c>
    </row>
    <row r="49" customFormat="false" ht="31.3" hidden="false" customHeight="false" outlineLevel="0" collapsed="false">
      <c r="A49" s="12" t="s">
        <v>224</v>
      </c>
      <c r="B49" s="13" t="s">
        <v>383</v>
      </c>
      <c r="C49" s="14" t="s">
        <v>384</v>
      </c>
    </row>
    <row r="50" customFormat="false" ht="31.3" hidden="false" customHeight="false" outlineLevel="0" collapsed="false">
      <c r="A50" s="12" t="s">
        <v>385</v>
      </c>
      <c r="B50" s="13" t="s">
        <v>386</v>
      </c>
      <c r="C50" s="14" t="s">
        <v>387</v>
      </c>
    </row>
    <row r="51" customFormat="false" ht="31.3" hidden="false" customHeight="false" outlineLevel="0" collapsed="false">
      <c r="A51" s="12" t="s">
        <v>388</v>
      </c>
      <c r="B51" s="13" t="s">
        <v>389</v>
      </c>
      <c r="C51" s="14" t="s">
        <v>390</v>
      </c>
    </row>
    <row r="52" customFormat="false" ht="31.3" hidden="false" customHeight="false" outlineLevel="0" collapsed="false">
      <c r="A52" s="12" t="s">
        <v>230</v>
      </c>
      <c r="B52" s="13" t="s">
        <v>391</v>
      </c>
      <c r="C52" s="14" t="s">
        <v>392</v>
      </c>
    </row>
    <row r="53" customFormat="false" ht="31.3" hidden="false" customHeight="false" outlineLevel="0" collapsed="false">
      <c r="A53" s="12" t="s">
        <v>233</v>
      </c>
      <c r="B53" s="13" t="s">
        <v>393</v>
      </c>
      <c r="C53" s="14" t="s">
        <v>394</v>
      </c>
    </row>
    <row r="54" customFormat="false" ht="31.3" hidden="false" customHeight="false" outlineLevel="0" collapsed="false">
      <c r="A54" s="12" t="s">
        <v>54</v>
      </c>
      <c r="B54" s="13" t="s">
        <v>395</v>
      </c>
      <c r="C54" s="14" t="s">
        <v>396</v>
      </c>
    </row>
    <row r="55" customFormat="false" ht="31.3" hidden="false" customHeight="false" outlineLevel="0" collapsed="false">
      <c r="A55" s="12" t="s">
        <v>131</v>
      </c>
      <c r="B55" s="13" t="s">
        <v>397</v>
      </c>
      <c r="C55" s="14" t="s">
        <v>398</v>
      </c>
    </row>
    <row r="56" customFormat="false" ht="31.3" hidden="false" customHeight="false" outlineLevel="0" collapsed="false">
      <c r="A56" s="12" t="s">
        <v>164</v>
      </c>
      <c r="B56" s="13" t="s">
        <v>399</v>
      </c>
      <c r="C56" s="14" t="s">
        <v>400</v>
      </c>
    </row>
    <row r="57" customFormat="false" ht="46.25" hidden="false" customHeight="false" outlineLevel="0" collapsed="false">
      <c r="A57" s="12" t="s">
        <v>58</v>
      </c>
      <c r="B57" s="13" t="s">
        <v>401</v>
      </c>
      <c r="C57" s="14" t="s">
        <v>402</v>
      </c>
    </row>
    <row r="58" customFormat="false" ht="31.3" hidden="false" customHeight="false" outlineLevel="0" collapsed="false">
      <c r="A58" s="12" t="s">
        <v>203</v>
      </c>
      <c r="B58" s="13" t="s">
        <v>403</v>
      </c>
      <c r="C58" s="14" t="s">
        <v>404</v>
      </c>
    </row>
    <row r="59" customFormat="false" ht="31.3" hidden="false" customHeight="false" outlineLevel="0" collapsed="false">
      <c r="A59" s="12" t="s">
        <v>64</v>
      </c>
      <c r="B59" s="13" t="s">
        <v>405</v>
      </c>
      <c r="C59" s="14" t="s">
        <v>406</v>
      </c>
    </row>
    <row r="60" customFormat="false" ht="31.3" hidden="false" customHeight="false" outlineLevel="0" collapsed="false">
      <c r="A60" s="12" t="s">
        <v>61</v>
      </c>
      <c r="B60" s="13" t="s">
        <v>407</v>
      </c>
      <c r="C60" s="14" t="s">
        <v>408</v>
      </c>
    </row>
    <row r="61" customFormat="false" ht="31.3" hidden="false" customHeight="false" outlineLevel="0" collapsed="false">
      <c r="A61" s="12" t="s">
        <v>51</v>
      </c>
      <c r="B61" s="13" t="s">
        <v>409</v>
      </c>
      <c r="C61" s="14" t="s">
        <v>410</v>
      </c>
    </row>
    <row r="62" customFormat="false" ht="16.4" hidden="false" customHeight="false" outlineLevel="0" collapsed="false">
      <c r="A62" s="12" t="s">
        <v>200</v>
      </c>
      <c r="B62" s="13" t="s">
        <v>411</v>
      </c>
      <c r="C62" s="14" t="s">
        <v>412</v>
      </c>
    </row>
    <row r="63" customFormat="false" ht="31.3" hidden="false" customHeight="false" outlineLevel="0" collapsed="false">
      <c r="A63" s="12" t="s">
        <v>227</v>
      </c>
      <c r="B63" s="13" t="s">
        <v>413</v>
      </c>
      <c r="C63" s="14" t="s">
        <v>414</v>
      </c>
    </row>
    <row r="64" customFormat="false" ht="31.3" hidden="false" customHeight="false" outlineLevel="0" collapsed="false">
      <c r="A64" s="12" t="s">
        <v>415</v>
      </c>
      <c r="B64" s="13" t="s">
        <v>416</v>
      </c>
      <c r="C64" s="14" t="s">
        <v>417</v>
      </c>
    </row>
    <row r="65" customFormat="false" ht="16.4" hidden="false" customHeight="false" outlineLevel="0" collapsed="false">
      <c r="A65" s="12" t="s">
        <v>418</v>
      </c>
      <c r="B65" s="13" t="s">
        <v>419</v>
      </c>
      <c r="C65" s="14" t="s">
        <v>420</v>
      </c>
    </row>
    <row r="66" customFormat="false" ht="31.3" hidden="false" customHeight="false" outlineLevel="0" collapsed="false">
      <c r="A66" s="12" t="s">
        <v>152</v>
      </c>
      <c r="B66" s="13" t="s">
        <v>421</v>
      </c>
      <c r="C66" s="14" t="s">
        <v>422</v>
      </c>
    </row>
    <row r="67" customFormat="false" ht="31.3" hidden="false" customHeight="false" outlineLevel="0" collapsed="false">
      <c r="A67" s="12" t="s">
        <v>423</v>
      </c>
      <c r="B67" s="13" t="s">
        <v>424</v>
      </c>
      <c r="C67" s="14" t="s">
        <v>425</v>
      </c>
    </row>
    <row r="68" customFormat="false" ht="16.4" hidden="false" customHeight="false" outlineLevel="0" collapsed="false">
      <c r="A68" s="12" t="s">
        <v>426</v>
      </c>
      <c r="B68" s="13" t="s">
        <v>427</v>
      </c>
      <c r="C68" s="14" t="s">
        <v>428</v>
      </c>
    </row>
    <row r="69" customFormat="false" ht="31.3" hidden="false" customHeight="false" outlineLevel="0" collapsed="false">
      <c r="A69" s="12" t="s">
        <v>429</v>
      </c>
      <c r="B69" s="13" t="s">
        <v>430</v>
      </c>
      <c r="C69" s="14" t="s">
        <v>431</v>
      </c>
    </row>
    <row r="70" customFormat="false" ht="31.3" hidden="false" customHeight="false" outlineLevel="0" collapsed="false">
      <c r="A70" s="12" t="s">
        <v>432</v>
      </c>
      <c r="B70" s="13" t="s">
        <v>433</v>
      </c>
      <c r="C70" s="14" t="s">
        <v>434</v>
      </c>
    </row>
    <row r="71" customFormat="false" ht="31.3" hidden="false" customHeight="false" outlineLevel="0" collapsed="false">
      <c r="A71" s="12" t="s">
        <v>435</v>
      </c>
      <c r="B71" s="13" t="s">
        <v>436</v>
      </c>
      <c r="C71" s="14" t="s">
        <v>437</v>
      </c>
    </row>
    <row r="72" customFormat="false" ht="31.3" hidden="false" customHeight="false" outlineLevel="0" collapsed="false">
      <c r="B72" s="15" t="s">
        <v>438</v>
      </c>
      <c r="C72" s="0" t="s">
        <v>439</v>
      </c>
    </row>
  </sheetData>
  <autoFilter ref="A1:C54"/>
  <hyperlinks>
    <hyperlink ref="C2" r:id="rId1" display="https://doi.org/10.1038/s41588-019-0358-2"/>
    <hyperlink ref="C3" r:id="rId2" display="https://doi.org/10.1038/s41588-018-0311-9"/>
    <hyperlink ref="C4" r:id="rId3" display="https://doi.org/10.1038/s41588-022-01024-z"/>
    <hyperlink ref="C5" r:id="rId4" display="https://doi.org/10.1038/s41588-021-00921-z"/>
    <hyperlink ref="C6" r:id="rId5" display="https://doi.org/10.1074/jbc.M401399200"/>
    <hyperlink ref="C7" r:id="rId6" display="https://doi.org/10.1038/ncomms9836"/>
    <hyperlink ref="C8" r:id="rId7" display="https://doi.org/10.1172/JCI29715"/>
    <hyperlink ref="C9" r:id="rId8" display="https://doi.org/10.1073/pnas.0701055104"/>
    <hyperlink ref="C10" r:id="rId9" display="https://doi.org/10.1093/jnen/62.1.42"/>
    <hyperlink ref="C11" r:id="rId10" display="https://doi.org/10.1016/j.tins.2017.03.003"/>
    <hyperlink ref="C12" r:id="rId11" display="https://doi.org/10.5115/acb.2011.44.2.116"/>
    <hyperlink ref="C13" r:id="rId12" display="https://doi.org/10.1155/2014/209398"/>
    <hyperlink ref="C14" r:id="rId13" display="https://doi.org/10.1002/alz.12868"/>
    <hyperlink ref="C15" r:id="rId14" display="https://doi.org/10.1371/journal.pone.0059554"/>
    <hyperlink ref="C16" r:id="rId15" display="https://doi.org/10.1038/s41598-018-24904-z"/>
    <hyperlink ref="C17" r:id="rId16" display="https://doi.org/10.1074/jbc.RA117.000378"/>
    <hyperlink ref="C19" r:id="rId17" display="https://doi.org/10.1186/s12864-024-10447-3"/>
    <hyperlink ref="C20" r:id="rId18" display="https://pubmed.ncbi.nlm.nih.gov/11726556/"/>
    <hyperlink ref="C21" r:id="rId19" display="https://doi.org/10.1002/alz70855_105818"/>
    <hyperlink ref="C23" r:id="rId20" display="https://doi.org/10.1074/jbc.M200897200"/>
    <hyperlink ref="C24" r:id="rId21" display="https://doi.org/10.1101/gad.309146.117"/>
    <hyperlink ref="C25" r:id="rId22" display="https://doi.org/10.1523/ENEURO.0125-20.2020"/>
    <hyperlink ref="C26" r:id="rId23" display="https://doi.org/10.1002/ana.410400512"/>
    <hyperlink ref="C28" r:id="rId24" display="https://doi.org/10.1186/1750-1326-6-55"/>
    <hyperlink ref="C29" r:id="rId25" display="https://doi.org/10.1042/AN20130017"/>
    <hyperlink ref="C30" r:id="rId26" display="https://pubmed.ncbi.nlm.nih.gov/15207261/"/>
    <hyperlink ref="C31" r:id="rId27" display="https://doi.org/10.1126/scitranslmed.abm4107"/>
    <hyperlink ref="C33" r:id="rId28" display="https://doi.org/10.1016/j.jalz.2014.06.010"/>
    <hyperlink ref="C34" r:id="rId29" display="https://www.sciencedirect.com/science/article/abs/pii/0896627390901445"/>
    <hyperlink ref="C35" r:id="rId30" display="https://doi.org/10.1016/j.stemcr.2025.102601"/>
    <hyperlink ref="C36" r:id="rId31" display="https://doi.org/10.1007/s00018-019-03074-9"/>
    <hyperlink ref="C38" r:id="rId32" display="https://doi.org/10.1111/acel.14493"/>
    <hyperlink ref="C40" r:id="rId33" display="https://doi.org/10.1186/s13195-021-00907-3"/>
    <hyperlink ref="C41" r:id="rId34" display="https://doi.org/10.3233/JAD-2012-120472"/>
    <hyperlink ref="C45" r:id="rId35" display="https://doi.org/10.1038/s41467-017-00769-0"/>
    <hyperlink ref="C46" r:id="rId36" display="https://doi.org/10.1126/science.aad8373"/>
    <hyperlink ref="C47" r:id="rId37" display="https://doi.org/10.1126/scitranslmed.aaf6295"/>
    <hyperlink ref="C48" r:id="rId38" display="https://doi.org/10.1016/j.celrep.2019.07.060"/>
    <hyperlink ref="C49" r:id="rId39" display="https://doi.org/10.1186/1750-1326-4-41"/>
    <hyperlink ref="C50" r:id="rId40" display="https://doi.org/10.1371/journal.pmed.1003012"/>
    <hyperlink ref="C51" r:id="rId41" display="https://doi.org/10.1186/s13195-019-0507-y"/>
    <hyperlink ref="C52" r:id="rId42" display="https://doi.org/10.1038/s41598-023-34787-4"/>
    <hyperlink ref="C53" r:id="rId43" display="https://doi.org/10.1111/j.1365-2990.2010.01076.x"/>
    <hyperlink ref="C54" r:id="rId44" display="https://doi.org/10.1074/jbc.RA118.001747"/>
    <hyperlink ref="C55" r:id="rId45" display="https://doi.org/10.1128/MCB.00739-06"/>
    <hyperlink ref="C56" r:id="rId46" display="https://pmc.ncbi.nlm.nih.gov/articles/PMC6476862"/>
    <hyperlink ref="C57" r:id="rId47" display="https://doi.org/10.3233/JAD-160160"/>
    <hyperlink ref="C58" r:id="rId48" display="https://doi.org/10.3233/JAD-161298"/>
    <hyperlink ref="C59" r:id="rId49" display="https://doi.org/10.4062/biomolther.2025.150"/>
    <hyperlink ref="C60" r:id="rId50" display="https://doi.org/10.3390/genes16111329"/>
    <hyperlink ref="C61" r:id="rId51" display="https://doi.org/10.1186/s13195-020-00733-z"/>
    <hyperlink ref="C62" r:id="rId52" display="https://doi.org/10.1038/s12276-024-01274-3"/>
    <hyperlink ref="C63" r:id="rId53" display="https://doi.org/10.1016/j.eng.2025.02.016"/>
    <hyperlink ref="C64" r:id="rId54" display="https://doi.org/10.18632/aging.100887"/>
    <hyperlink ref="C65" r:id="rId55" display="https://doi.org/10.1016/j.gene.2021.145484"/>
    <hyperlink ref="C66" r:id="rId56" display="https://www.aging-us.com/article/102545"/>
    <hyperlink ref="C67" r:id="rId57" display="https://doi.org/10.1093/brain/awz376"/>
    <hyperlink ref="C68" r:id="rId58" display="https://doi.org/10.1016/j.mehy.2015.01.026"/>
    <hyperlink ref="C69" r:id="rId59" display="https://doi.org/10.1371/journal.pbio.3002659"/>
    <hyperlink ref="C70" r:id="rId60" display="https://doi.org/10.1038/s41593-019-0501-5"/>
    <hyperlink ref="C71" r:id="rId61" display="https://doi.org/10.3390/ijms25126640"/>
    <hyperlink ref="C72" r:id="rId62" display="https://www.nature.com/articles/s41467-026-68920-4"/>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63"/>
</worksheet>
</file>

<file path=docProps/app.xml><?xml version="1.0" encoding="utf-8"?>
<Properties xmlns="http://schemas.openxmlformats.org/officeDocument/2006/extended-properties" xmlns:vt="http://schemas.openxmlformats.org/officeDocument/2006/docPropsVTypes">
  <Template/>
  <TotalTime>991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2026-10-05T01:45:49Z</dcterms:created>
  <dc:creator>openpyxl</dc:creator>
  <dc:description/>
  <dc:language>en-US</dc:language>
  <cp:lastModifiedBy/>
  <dcterms:modified xsi:type="dcterms:W3CDTF">2026-10-06T09:29:51Z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